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D:\Drey Docs\Data\Projects\lifting_tracker\"/>
    </mc:Choice>
  </mc:AlternateContent>
  <xr:revisionPtr revIDLastSave="0" documentId="13_ncr:1_{3E8FE81C-9C1B-4EBA-8980-EE4AE270BC93}" xr6:coauthVersionLast="47" xr6:coauthVersionMax="47" xr10:uidLastSave="{00000000-0000-0000-0000-000000000000}"/>
  <bookViews>
    <workbookView xWindow="-120" yWindow="-120" windowWidth="29040" windowHeight="15840" activeTab="3" xr2:uid="{ABF3771C-1A20-49C2-B51B-882F10E5D34C}"/>
  </bookViews>
  <sheets>
    <sheet name="Imported_data" sheetId="2" r:id="rId1"/>
    <sheet name="Volumes" sheetId="4" state="hidden" r:id="rId2"/>
    <sheet name="Max" sheetId="8" state="hidden" r:id="rId3"/>
    <sheet name="Dashboard" sheetId="7" r:id="rId4"/>
    <sheet name="Interactive Actions" sheetId="5" state="hidden" r:id="rId5"/>
    <sheet name="Tips" sheetId="9" state="hidden" r:id="rId6"/>
  </sheets>
  <definedNames>
    <definedName name="ExternalData_1" localSheetId="0" hidden="1">Imported_data!$A$1:$J$956</definedName>
    <definedName name="Slicer_Exercise1">#N/A</definedName>
    <definedName name="Slicer_Exercise3">#N/A</definedName>
    <definedName name="Slicer_Routine1">#N/A</definedName>
    <definedName name="Start_here">#REF!</definedName>
  </definedNames>
  <calcPr calcId="191029"/>
  <pivotCaches>
    <pivotCache cacheId="6"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 i="8" l="1"/>
  <c r="E12" i="9"/>
  <c r="M8" i="7"/>
  <c r="R8" i="7" s="1"/>
  <c r="C8" i="7"/>
  <c r="W8" i="7" s="1"/>
  <c r="N4" i="9"/>
  <c r="O4" i="9" s="1"/>
  <c r="O3" i="9"/>
  <c r="O2" i="9"/>
  <c r="H5" i="9"/>
  <c r="H6" i="9"/>
  <c r="H7" i="9"/>
  <c r="H8" i="9"/>
  <c r="H9" i="9"/>
  <c r="H10" i="9"/>
  <c r="H11" i="9"/>
  <c r="H12" i="9"/>
  <c r="G12" i="9"/>
  <c r="F12" i="9"/>
  <c r="D12" i="9"/>
  <c r="C12" i="9"/>
  <c r="G11" i="9"/>
  <c r="F11" i="9"/>
  <c r="D11" i="9"/>
  <c r="C11" i="9"/>
  <c r="G10" i="9"/>
  <c r="F10" i="9"/>
  <c r="E10" i="9"/>
  <c r="D10" i="9"/>
  <c r="C10" i="9"/>
  <c r="G9" i="9"/>
  <c r="F9" i="9"/>
  <c r="E9" i="9"/>
  <c r="C9" i="9"/>
  <c r="E11" i="9"/>
  <c r="D9" i="9"/>
  <c r="G7" i="9"/>
  <c r="F7" i="9"/>
  <c r="E7" i="9"/>
  <c r="C7" i="9"/>
  <c r="D7" i="9"/>
  <c r="G8" i="9"/>
  <c r="F8" i="9"/>
  <c r="E8" i="9"/>
  <c r="D8" i="9"/>
  <c r="C8" i="9"/>
  <c r="G6" i="9"/>
  <c r="F6" i="9"/>
  <c r="E6" i="9"/>
  <c r="D6" i="9"/>
  <c r="C6" i="9"/>
  <c r="G5" i="9"/>
  <c r="F5" i="9"/>
  <c r="E5" i="9"/>
  <c r="D5" i="9"/>
  <c r="C5" i="9"/>
  <c r="Z56" i="4"/>
  <c r="Z57" i="4"/>
  <c r="Z58" i="4" s="1"/>
  <c r="M6" i="5"/>
  <c r="M7" i="5" s="1"/>
  <c r="N2" i="8"/>
  <c r="E23" i="7" s="1"/>
  <c r="I7" i="5"/>
  <c r="I8" i="5" s="1"/>
  <c r="N4" i="8" l="1"/>
  <c r="F23" i="7" s="1"/>
  <c r="H8" i="7"/>
  <c r="I6" i="9" a="1"/>
  <c r="I6" i="9" s="1"/>
  <c r="I12" i="9" a="1"/>
  <c r="I12" i="9" s="1"/>
  <c r="I11" i="9" a="1"/>
  <c r="I11" i="9" s="1"/>
  <c r="I8" i="9" a="1"/>
  <c r="I8" i="9" s="1"/>
  <c r="I7" i="9" a="1"/>
  <c r="I7" i="9" s="1"/>
  <c r="I9" i="9" a="1"/>
  <c r="I9" i="9" s="1"/>
  <c r="I10" i="9" a="1"/>
  <c r="I10" i="9" s="1"/>
  <c r="I5" i="9" a="1"/>
  <c r="I5" i="9" s="1"/>
  <c r="B23" i="7"/>
  <c r="B27" i="7" s="1"/>
  <c r="G13" i="5"/>
  <c r="N3" i="8"/>
  <c r="E27" i="7" s="1"/>
  <c r="F14" i="5"/>
  <c r="G14" i="5" s="1"/>
  <c r="B29" i="7" l="1"/>
  <c r="B2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35293C7-9829-4200-A4C9-570C0EB2A5B1}" keepAlive="1" name="Query - get_data" description="Connection to the 'get_data' query in the workbook." type="5" refreshedVersion="8" background="1" refreshOnLoad="1" saveData="1">
    <dbPr connection="Provider=Microsoft.Mashup.OleDb.1;Data Source=$Workbook$;Location=get_data;Extended Properties=&quot;&quot;" command="SELECT * FROM [get_dat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futureMetadata name="XLDAPR" count="1">
    <bk>
      <extLst>
        <ext uri="{bdbb8cdc-fa1e-496e-a857-3c3f30c029c3}">
          <xda:dynamicArrayProperties fDynamic="1" fCollapsed="0"/>
        </ext>
      </extLst>
    </bk>
  </futureMetadata>
  <cellMetadata count="1">
    <bk>
      <rc t="2" v="0"/>
    </bk>
  </cell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<sst xmlns="http://schemas.openxmlformats.org/spreadsheetml/2006/main" count="4215" uniqueCount="186">
  <si>
    <t>Date</t>
  </si>
  <si>
    <t>Exercise</t>
  </si>
  <si>
    <t>Set #</t>
  </si>
  <si>
    <t>Weight</t>
  </si>
  <si>
    <t>Reps</t>
  </si>
  <si>
    <t>Tonnage</t>
  </si>
  <si>
    <t>Routine</t>
  </si>
  <si>
    <t>Row Labels</t>
  </si>
  <si>
    <t>Total Volume</t>
  </si>
  <si>
    <t>Bent Over Rows</t>
  </si>
  <si>
    <t>Ez Curls</t>
  </si>
  <si>
    <t>Rdl</t>
  </si>
  <si>
    <t>Flat Bench Press</t>
  </si>
  <si>
    <t>Lying Tricep Extensions</t>
  </si>
  <si>
    <t>Overhead Press</t>
  </si>
  <si>
    <t>Back Squat</t>
  </si>
  <si>
    <t>Pulldown</t>
  </si>
  <si>
    <t>Front Squat</t>
  </si>
  <si>
    <t>Incline Bench Press</t>
  </si>
  <si>
    <t>Pullups</t>
  </si>
  <si>
    <t>Deadlift</t>
  </si>
  <si>
    <t>Pull</t>
  </si>
  <si>
    <t>Legs</t>
  </si>
  <si>
    <t>Push</t>
  </si>
  <si>
    <t>1 Rep Max</t>
  </si>
  <si>
    <t>Column Labels</t>
  </si>
  <si>
    <t>Date Achieved</t>
  </si>
  <si>
    <t>Time Metrics</t>
  </si>
  <si>
    <t>Weight Lifting Performance Dashboard</t>
  </si>
  <si>
    <t>Total Number of Workouts</t>
  </si>
  <si>
    <t>Workout Frequency/Week</t>
  </si>
  <si>
    <t>Sum of Tonnage</t>
  </si>
  <si>
    <t>Max of 1 Rep Max</t>
  </si>
  <si>
    <t>date achieved</t>
  </si>
  <si>
    <t>Grand Total</t>
  </si>
  <si>
    <t>Count of Set #</t>
  </si>
  <si>
    <t>Core vs Accessory</t>
  </si>
  <si>
    <t>Core</t>
  </si>
  <si>
    <t>Accessory</t>
  </si>
  <si>
    <t>Title1</t>
  </si>
  <si>
    <t>Title2</t>
  </si>
  <si>
    <t>Total_Title</t>
  </si>
  <si>
    <t>Xlookup</t>
  </si>
  <si>
    <t>Image to Show</t>
  </si>
  <si>
    <t>Dynamic Title Slicer</t>
  </si>
  <si>
    <t>Rev Flyes</t>
  </si>
  <si>
    <t xml:space="preserve">Tricep Pushdown </t>
  </si>
  <si>
    <t>Shrugs</t>
  </si>
  <si>
    <t>Macrocycle</t>
  </si>
  <si>
    <t>Y Lateral Raises</t>
  </si>
  <si>
    <t>Average of Reps</t>
  </si>
  <si>
    <t>Am I Getting Stronger?</t>
  </si>
  <si>
    <t># of Sets</t>
  </si>
  <si>
    <t>One Rep Max</t>
  </si>
  <si>
    <t>Am I Working Harder?</t>
  </si>
  <si>
    <t>Volume for</t>
  </si>
  <si>
    <t>Gain:</t>
  </si>
  <si>
    <t>Starting Weight:</t>
  </si>
  <si>
    <t>Current Weight:</t>
  </si>
  <si>
    <t>Body Weight</t>
  </si>
  <si>
    <t>Lean Muscle (~20% Bf)</t>
  </si>
  <si>
    <t>Bb Wrist Curls</t>
  </si>
  <si>
    <t>Cable Crunches</t>
  </si>
  <si>
    <t>Wrist Extensions</t>
  </si>
  <si>
    <t>Standing Laterals</t>
  </si>
  <si>
    <t>Standing Calf Raises</t>
  </si>
  <si>
    <t>Lat Prayers</t>
  </si>
  <si>
    <t>Max of Reps</t>
  </si>
  <si>
    <t>max weight</t>
  </si>
  <si>
    <t>max reps</t>
  </si>
  <si>
    <t>exercise</t>
  </si>
  <si>
    <t>Arms</t>
  </si>
  <si>
    <t>1 Leg Calf Raises</t>
  </si>
  <si>
    <t>Cable Curls</t>
  </si>
  <si>
    <t>novice</t>
  </si>
  <si>
    <t>beginner</t>
  </si>
  <si>
    <t>intermediate</t>
  </si>
  <si>
    <t>advanced</t>
  </si>
  <si>
    <t>elite</t>
  </si>
  <si>
    <t>my max</t>
  </si>
  <si>
    <t>status</t>
  </si>
  <si>
    <t>6mon+</t>
  </si>
  <si>
    <t>2yrs+</t>
  </si>
  <si>
    <t>5yrs+</t>
  </si>
  <si>
    <t>1mon+</t>
  </si>
  <si>
    <t>Strength Standards</t>
  </si>
  <si>
    <t>5yrs+++</t>
  </si>
  <si>
    <t>9/13/2023</t>
  </si>
  <si>
    <t>9/14/2023</t>
  </si>
  <si>
    <t>9/15/2023</t>
  </si>
  <si>
    <t>9/17/2023</t>
  </si>
  <si>
    <t>9/18/2023</t>
  </si>
  <si>
    <t>9/19/2023</t>
  </si>
  <si>
    <t>9/20/2023</t>
  </si>
  <si>
    <t>9/21/2023</t>
  </si>
  <si>
    <t>9/22/2023</t>
  </si>
  <si>
    <t>9/24/2023</t>
  </si>
  <si>
    <t>9/25/2023</t>
  </si>
  <si>
    <t>9/26/2023</t>
  </si>
  <si>
    <t>9/27/2023</t>
  </si>
  <si>
    <t>9/28/2023</t>
  </si>
  <si>
    <t>9/29/2023</t>
  </si>
  <si>
    <t>10/1/2023</t>
  </si>
  <si>
    <t>10/2/2023</t>
  </si>
  <si>
    <t>10/3/2023</t>
  </si>
  <si>
    <t>10/4/2023</t>
  </si>
  <si>
    <t>10/5/2023</t>
  </si>
  <si>
    <t>10/6/2023</t>
  </si>
  <si>
    <t>10/9/2023</t>
  </si>
  <si>
    <t>10/10/2023</t>
  </si>
  <si>
    <t>10/11/2023</t>
  </si>
  <si>
    <t>10/12/2023</t>
  </si>
  <si>
    <t>10/18/2023</t>
  </si>
  <si>
    <t>10/19/2023</t>
  </si>
  <si>
    <t>10/21/2023</t>
  </si>
  <si>
    <t>10/23/2023</t>
  </si>
  <si>
    <t>10/24/2023</t>
  </si>
  <si>
    <t>10/26/2023</t>
  </si>
  <si>
    <t>10/28/2023</t>
  </si>
  <si>
    <t>10/30/2023</t>
  </si>
  <si>
    <t>10/31/2023</t>
  </si>
  <si>
    <t>11/7/2023</t>
  </si>
  <si>
    <t>11/8/2023</t>
  </si>
  <si>
    <t>11/9/2023</t>
  </si>
  <si>
    <t>11/12/2023</t>
  </si>
  <si>
    <t>11/13/2023</t>
  </si>
  <si>
    <t>11/14/2023</t>
  </si>
  <si>
    <t>11/16/2023</t>
  </si>
  <si>
    <t>11/17/2023</t>
  </si>
  <si>
    <t>11/19/2023</t>
  </si>
  <si>
    <t>11/20/2023</t>
  </si>
  <si>
    <t>11/23/2023</t>
  </si>
  <si>
    <t>11/24/2023</t>
  </si>
  <si>
    <t>11/26/2023</t>
  </si>
  <si>
    <t>11/27/2023</t>
  </si>
  <si>
    <t>11/28/2023</t>
  </si>
  <si>
    <t>12/5/2023</t>
  </si>
  <si>
    <t>12/6/2023</t>
  </si>
  <si>
    <t>12/8/2023</t>
  </si>
  <si>
    <t>12/9/2023</t>
  </si>
  <si>
    <t>12/10/2023</t>
  </si>
  <si>
    <t>12/12/2023</t>
  </si>
  <si>
    <t>12/13/2023</t>
  </si>
  <si>
    <t>12/14/2023</t>
  </si>
  <si>
    <t>12/15/2023</t>
  </si>
  <si>
    <t>12/17/2023</t>
  </si>
  <si>
    <t>12/18/2023</t>
  </si>
  <si>
    <t>12/20/2023</t>
  </si>
  <si>
    <t>12/21/2023</t>
  </si>
  <si>
    <t>12/22/2023</t>
  </si>
  <si>
    <t>12/24/2023</t>
  </si>
  <si>
    <t>12/25/2023</t>
  </si>
  <si>
    <t>12/26/2023</t>
  </si>
  <si>
    <t>12/27/2023</t>
  </si>
  <si>
    <t>12/28/2023</t>
  </si>
  <si>
    <t>12/29/2023</t>
  </si>
  <si>
    <t>12/30/2023</t>
  </si>
  <si>
    <t>12/31/2023</t>
  </si>
  <si>
    <t>1/1/2024</t>
  </si>
  <si>
    <t>1/2/2024</t>
  </si>
  <si>
    <t>DateID</t>
  </si>
  <si>
    <t>dynamic double progression</t>
  </si>
  <si>
    <t>100x8,95x9,95x8</t>
  </si>
  <si>
    <t>100x9,95x9,95x9</t>
  </si>
  <si>
    <t>100x9,95x9,95x10</t>
  </si>
  <si>
    <t>105x8,100x9,100x8</t>
  </si>
  <si>
    <t>flat bench</t>
  </si>
  <si>
    <t>incline</t>
  </si>
  <si>
    <t>tris</t>
  </si>
  <si>
    <t>8-10</t>
  </si>
  <si>
    <t>10-12</t>
  </si>
  <si>
    <t>bis</t>
  </si>
  <si>
    <t>pullups</t>
  </si>
  <si>
    <t>BoR</t>
  </si>
  <si>
    <t>F Squat</t>
  </si>
  <si>
    <t>Dl</t>
  </si>
  <si>
    <t>3-5</t>
  </si>
  <si>
    <t>OHP</t>
  </si>
  <si>
    <t>y-lats</t>
  </si>
  <si>
    <t>15-20</t>
  </si>
  <si>
    <t>Time Since Start Date</t>
  </si>
  <si>
    <t xml:space="preserve">Start Date </t>
  </si>
  <si>
    <t>Min of 1 Rep Max</t>
  </si>
  <si>
    <t>min weight</t>
  </si>
  <si>
    <t>gain</t>
  </si>
  <si>
    <t>Max Weight (lbs)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</si>
</sst>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mm/dd/yy;@"/>
  </numFmts>
  <fonts count="38" x14ac:knownFonts="1">
    <font>
      <sz val="11"/>
      <color theme="1"/>
      <name val="Calibri"/>
      <family val="2"/>
      <scheme val="minor"/>
    </font>
    <font>
      <b/>
      <sz val="11"/>
      <color theme="1"/>
      <name val="Calibri"/>
      <family val="2"/>
      <scheme val="minor"/>
    </font>
    <font>
      <sz val="28"/>
      <color theme="0"/>
      <name val="Arial"/>
      <family val="2"/>
    </font>
    <font>
      <sz val="12"/>
      <color theme="0"/>
      <name val="Arial"/>
      <family val="2"/>
    </font>
    <font>
      <b/>
      <sz val="14"/>
      <color rgb="FF000000"/>
      <name val="Arial"/>
      <family val="2"/>
    </font>
    <font>
      <sz val="16"/>
      <color theme="0"/>
      <name val="Arial"/>
      <family val="2"/>
    </font>
    <font>
      <b/>
      <sz val="10"/>
      <name val="Arial"/>
      <family val="2"/>
    </font>
    <font>
      <b/>
      <i/>
      <sz val="36"/>
      <name val="Calibri"/>
      <family val="2"/>
      <scheme val="minor"/>
    </font>
    <font>
      <b/>
      <i/>
      <sz val="36"/>
      <name val="Arial"/>
      <family val="2"/>
    </font>
    <font>
      <b/>
      <i/>
      <sz val="36"/>
      <color rgb="FFC00000"/>
      <name val="Arial"/>
      <family val="2"/>
    </font>
    <font>
      <sz val="50"/>
      <color theme="0"/>
      <name val="Arial"/>
      <family val="2"/>
    </font>
    <font>
      <sz val="20"/>
      <color theme="0"/>
      <name val="Arial"/>
      <family val="2"/>
    </font>
    <font>
      <sz val="36"/>
      <color rgb="FFC00000"/>
      <name val="Arial"/>
      <family val="2"/>
    </font>
    <font>
      <sz val="11"/>
      <color theme="1"/>
      <name val="Arial"/>
      <family val="2"/>
    </font>
    <font>
      <b/>
      <sz val="10"/>
      <color theme="1"/>
      <name val="Arial"/>
      <family val="2"/>
    </font>
    <font>
      <sz val="11"/>
      <color rgb="FFC00000"/>
      <name val="Arial"/>
      <family val="2"/>
    </font>
    <font>
      <b/>
      <sz val="36"/>
      <color rgb="FFC00000"/>
      <name val="Arial"/>
      <family val="2"/>
    </font>
    <font>
      <b/>
      <sz val="36"/>
      <color rgb="FFC00000"/>
      <name val="Calibri"/>
      <family val="2"/>
      <scheme val="minor"/>
    </font>
    <font>
      <b/>
      <sz val="10"/>
      <color rgb="FFC00000"/>
      <name val="Arial"/>
      <family val="2"/>
    </font>
    <font>
      <sz val="11"/>
      <name val="Calibri"/>
      <family val="2"/>
      <scheme val="minor"/>
    </font>
    <font>
      <b/>
      <sz val="30"/>
      <color theme="1"/>
      <name val="Calibri"/>
      <family val="2"/>
      <scheme val="minor"/>
    </font>
    <font>
      <sz val="12"/>
      <color theme="1"/>
      <name val="Calibri"/>
      <family val="2"/>
      <scheme val="minor"/>
    </font>
    <font>
      <b/>
      <sz val="12"/>
      <color rgb="FFC00000"/>
      <name val="Arial"/>
      <family val="2"/>
    </font>
    <font>
      <b/>
      <sz val="24"/>
      <color rgb="FFC00000"/>
      <name val="Arial"/>
      <family val="2"/>
    </font>
    <font>
      <sz val="10"/>
      <color theme="1"/>
      <name val="Arial"/>
      <family val="2"/>
    </font>
    <font>
      <b/>
      <sz val="10"/>
      <name val="Calibri"/>
      <family val="2"/>
      <scheme val="minor"/>
    </font>
    <font>
      <sz val="5"/>
      <color theme="0"/>
      <name val="Arial"/>
      <family val="2"/>
    </font>
    <font>
      <sz val="5"/>
      <color theme="1"/>
      <name val="Calibri"/>
      <family val="2"/>
      <scheme val="minor"/>
    </font>
    <font>
      <b/>
      <sz val="5"/>
      <name val="Arial"/>
      <family val="2"/>
    </font>
    <font>
      <sz val="5"/>
      <name val="Arial"/>
      <family val="2"/>
    </font>
    <font>
      <sz val="5"/>
      <name val="Calibri"/>
      <family val="2"/>
      <scheme val="minor"/>
    </font>
    <font>
      <sz val="20"/>
      <color theme="1"/>
      <name val="Calibri"/>
      <family val="2"/>
      <scheme val="minor"/>
    </font>
    <font>
      <b/>
      <sz val="5"/>
      <color theme="1"/>
      <name val="Arial"/>
      <family val="2"/>
    </font>
    <font>
      <sz val="5"/>
      <color theme="1"/>
      <name val="Arial"/>
      <family val="2"/>
    </font>
    <font>
      <u/>
      <sz val="11"/>
      <color theme="10"/>
      <name val="Calibri"/>
      <family val="2"/>
      <scheme val="minor"/>
    </font>
    <font>
      <b/>
      <sz val="20"/>
      <color rgb="FFC00000"/>
      <name val="Arial"/>
      <family val="2"/>
    </font>
    <font>
      <sz val="8"/>
      <name val="Calibri"/>
      <family val="2"/>
      <scheme val="minor"/>
    </font>
    <font>
      <b/>
      <sz val="14"/>
      <color rgb="FFC00000"/>
      <name val="Arial"/>
      <family val="2"/>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2">
    <xf numFmtId="0" fontId="0" fillId="0" borderId="0"/>
    <xf numFmtId="0" fontId="34" fillId="0" borderId="0" applyNumberFormat="0" applyFill="0" applyBorder="0" applyAlignment="0" applyProtection="0"/>
  </cellStyleXfs>
  <cellXfs count="79">
    <xf numFmtId="0" fontId="0" fillId="0" borderId="0" xfId="0"/>
    <xf numFmtId="14" fontId="0" fillId="0" borderId="0" xfId="0" applyNumberFormat="1"/>
    <xf numFmtId="0" fontId="0" fillId="0" borderId="0" xfId="0" pivotButton="1"/>
    <xf numFmtId="164" fontId="0" fillId="0" borderId="0" xfId="0" applyNumberFormat="1"/>
    <xf numFmtId="0" fontId="1" fillId="0" borderId="0" xfId="0" applyFont="1"/>
    <xf numFmtId="0" fontId="3" fillId="0" borderId="0" xfId="0" applyFont="1" applyAlignment="1">
      <alignment horizontal="center" vertical="center"/>
    </xf>
    <xf numFmtId="0" fontId="2" fillId="0" borderId="0" xfId="0" applyFont="1" applyAlignment="1">
      <alignment vertical="center"/>
    </xf>
    <xf numFmtId="0" fontId="5" fillId="0" borderId="0" xfId="0" applyFont="1" applyAlignment="1">
      <alignment vertical="center"/>
    </xf>
    <xf numFmtId="0" fontId="7" fillId="0" borderId="0" xfId="0" applyFont="1"/>
    <xf numFmtId="14" fontId="8" fillId="0" borderId="0" xfId="0" applyNumberFormat="1" applyFont="1" applyAlignment="1">
      <alignment vertical="center"/>
    </xf>
    <xf numFmtId="0" fontId="8" fillId="0" borderId="0" xfId="0" applyFont="1" applyAlignment="1">
      <alignment horizontal="center" vertical="center"/>
    </xf>
    <xf numFmtId="0" fontId="0" fillId="0" borderId="0" xfId="0" applyAlignment="1">
      <alignment horizontal="left"/>
    </xf>
    <xf numFmtId="0" fontId="12" fillId="0" borderId="0" xfId="0" applyFont="1"/>
    <xf numFmtId="0" fontId="13" fillId="0" borderId="0" xfId="0" applyFont="1"/>
    <xf numFmtId="0" fontId="14" fillId="0" borderId="0" xfId="0" applyFont="1"/>
    <xf numFmtId="0" fontId="15" fillId="0" borderId="0" xfId="0" applyFont="1"/>
    <xf numFmtId="164" fontId="0" fillId="0" borderId="0" xfId="0" applyNumberFormat="1" applyAlignment="1">
      <alignment horizontal="left"/>
    </xf>
    <xf numFmtId="0" fontId="16" fillId="0" borderId="0" xfId="0" applyFont="1" applyAlignment="1">
      <alignment vertical="center"/>
    </xf>
    <xf numFmtId="0" fontId="17" fillId="0" borderId="0" xfId="0" applyFont="1" applyAlignment="1">
      <alignment vertical="center"/>
    </xf>
    <xf numFmtId="0" fontId="19" fillId="0" borderId="0" xfId="0" applyFont="1"/>
    <xf numFmtId="0" fontId="0" fillId="0" borderId="0" xfId="0" applyAlignment="1">
      <alignment horizontal="center" vertical="center"/>
    </xf>
    <xf numFmtId="0" fontId="20" fillId="0" borderId="0" xfId="0" applyFont="1" applyAlignment="1">
      <alignment horizontal="center" vertical="center"/>
    </xf>
    <xf numFmtId="0" fontId="21" fillId="0" borderId="0" xfId="0" applyFont="1"/>
    <xf numFmtId="0" fontId="22" fillId="0" borderId="0" xfId="0" applyFont="1"/>
    <xf numFmtId="14" fontId="22" fillId="0" borderId="0" xfId="0" applyNumberFormat="1" applyFont="1"/>
    <xf numFmtId="0" fontId="6" fillId="0" borderId="0" xfId="0" applyFont="1" applyAlignment="1">
      <alignment horizontal="center" vertical="top"/>
    </xf>
    <xf numFmtId="0" fontId="6" fillId="0" borderId="0" xfId="0" applyFont="1" applyAlignment="1">
      <alignment horizontal="right" vertical="top"/>
    </xf>
    <xf numFmtId="0" fontId="25" fillId="0" borderId="0" xfId="0" applyFont="1" applyAlignment="1">
      <alignment vertical="top"/>
    </xf>
    <xf numFmtId="0" fontId="26" fillId="0" borderId="0" xfId="0" applyFont="1" applyAlignment="1">
      <alignment horizontal="left" vertical="center"/>
    </xf>
    <xf numFmtId="0" fontId="26" fillId="0" borderId="0" xfId="0" applyFont="1" applyAlignment="1">
      <alignment vertical="center"/>
    </xf>
    <xf numFmtId="0" fontId="27" fillId="0" borderId="0" xfId="0" applyFont="1"/>
    <xf numFmtId="0" fontId="28" fillId="0" borderId="0" xfId="0" applyFont="1" applyAlignment="1">
      <alignment horizontal="right" vertical="center"/>
    </xf>
    <xf numFmtId="14" fontId="29" fillId="0" borderId="0" xfId="0" applyNumberFormat="1" applyFont="1" applyAlignment="1">
      <alignment horizontal="left" vertical="center"/>
    </xf>
    <xf numFmtId="0" fontId="29" fillId="0" borderId="0" xfId="0" applyFont="1" applyAlignment="1">
      <alignment horizontal="left" vertical="center"/>
    </xf>
    <xf numFmtId="0" fontId="29" fillId="0" borderId="0" xfId="0" applyFont="1" applyAlignment="1">
      <alignment horizontal="center" vertical="center"/>
    </xf>
    <xf numFmtId="0" fontId="30" fillId="0" borderId="0" xfId="0" applyFont="1"/>
    <xf numFmtId="0" fontId="0" fillId="3" borderId="0" xfId="0" applyFill="1"/>
    <xf numFmtId="0" fontId="23" fillId="0" borderId="0" xfId="0" applyFont="1" applyAlignment="1">
      <alignment vertical="center"/>
    </xf>
    <xf numFmtId="165" fontId="0" fillId="0" borderId="0" xfId="0" applyNumberFormat="1"/>
    <xf numFmtId="2" fontId="0" fillId="0" borderId="0" xfId="0" applyNumberFormat="1"/>
    <xf numFmtId="0" fontId="1" fillId="0" borderId="4" xfId="0" applyFont="1" applyBorder="1"/>
    <xf numFmtId="0" fontId="0" fillId="0" borderId="4" xfId="0" applyBorder="1"/>
    <xf numFmtId="0" fontId="0" fillId="0" borderId="5" xfId="0" applyBorder="1"/>
    <xf numFmtId="0" fontId="0" fillId="0" borderId="6" xfId="0" applyBorder="1"/>
    <xf numFmtId="0" fontId="0" fillId="0" borderId="8" xfId="0" applyBorder="1"/>
    <xf numFmtId="0" fontId="1" fillId="0" borderId="8" xfId="0" applyFont="1" applyBorder="1" applyAlignment="1">
      <alignment horizontal="left"/>
    </xf>
    <xf numFmtId="0" fontId="0" fillId="0" borderId="9" xfId="0" applyBorder="1"/>
    <xf numFmtId="0" fontId="1" fillId="0" borderId="10" xfId="0" applyFont="1" applyBorder="1"/>
    <xf numFmtId="0" fontId="1" fillId="0" borderId="11" xfId="0" applyFont="1" applyBorder="1"/>
    <xf numFmtId="0" fontId="1" fillId="0" borderId="7" xfId="0" applyFont="1" applyBorder="1" applyAlignment="1">
      <alignment horizontal="left"/>
    </xf>
    <xf numFmtId="0" fontId="0" fillId="3" borderId="5" xfId="0" applyFill="1" applyBorder="1"/>
    <xf numFmtId="0" fontId="31" fillId="0" borderId="0" xfId="0" applyFont="1" applyAlignment="1">
      <alignment vertical="center"/>
    </xf>
    <xf numFmtId="165" fontId="0" fillId="0" borderId="0" xfId="0" applyNumberFormat="1" applyAlignment="1">
      <alignment horizontal="left"/>
    </xf>
    <xf numFmtId="16" fontId="0" fillId="0" borderId="0" xfId="0" applyNumberFormat="1"/>
    <xf numFmtId="49" fontId="0" fillId="0" borderId="0" xfId="0" applyNumberFormat="1"/>
    <xf numFmtId="0" fontId="37" fillId="0" borderId="0" xfId="0" applyFont="1" applyAlignment="1">
      <alignment vertical="center"/>
    </xf>
    <xf numFmtId="0" fontId="23" fillId="0" borderId="0" xfId="0" applyFont="1" applyAlignment="1">
      <alignment horizontal="center" vertical="center"/>
    </xf>
    <xf numFmtId="0" fontId="14" fillId="0" borderId="0" xfId="0" applyFont="1" applyAlignment="1">
      <alignment horizontal="center" vertical="top"/>
    </xf>
    <xf numFmtId="0" fontId="24" fillId="0" borderId="0" xfId="0" applyFont="1" applyAlignment="1">
      <alignment horizontal="center" vertical="top"/>
    </xf>
    <xf numFmtId="164" fontId="35" fillId="0" borderId="0" xfId="0" applyNumberFormat="1" applyFont="1" applyAlignment="1">
      <alignment horizontal="center" vertical="center"/>
    </xf>
    <xf numFmtId="0" fontId="18" fillId="0" borderId="0" xfId="0" applyFont="1" applyAlignment="1">
      <alignment horizontal="center" vertical="center"/>
    </xf>
    <xf numFmtId="0" fontId="37" fillId="0" borderId="0" xfId="0" applyFont="1" applyAlignment="1">
      <alignment horizontal="center" vertical="center"/>
    </xf>
    <xf numFmtId="14" fontId="16" fillId="0" borderId="0" xfId="0" applyNumberFormat="1" applyFont="1" applyAlignment="1">
      <alignment horizontal="center" vertical="center"/>
    </xf>
    <xf numFmtId="0" fontId="16" fillId="0" borderId="0" xfId="0" applyFont="1" applyAlignment="1">
      <alignment horizontal="center" vertical="center"/>
    </xf>
    <xf numFmtId="0" fontId="11" fillId="2" borderId="0" xfId="0" applyFont="1" applyFill="1" applyAlignment="1">
      <alignment horizontal="left" vertical="center"/>
    </xf>
    <xf numFmtId="0" fontId="0" fillId="0" borderId="0" xfId="0" applyAlignment="1">
      <alignment horizontal="center"/>
    </xf>
    <xf numFmtId="0" fontId="32" fillId="0" borderId="0" xfId="0" applyFont="1" applyAlignment="1">
      <alignment horizontal="center" vertical="top"/>
    </xf>
    <xf numFmtId="0" fontId="33" fillId="0" borderId="0" xfId="0" applyFont="1" applyAlignment="1">
      <alignment horizontal="center" vertical="top"/>
    </xf>
    <xf numFmtId="0" fontId="10" fillId="2" borderId="0" xfId="0" applyFont="1" applyFill="1" applyAlignment="1">
      <alignment horizontal="center" vertical="center"/>
    </xf>
    <xf numFmtId="0" fontId="5" fillId="2" borderId="0" xfId="0" applyFont="1" applyFill="1" applyAlignment="1">
      <alignment horizontal="left"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6" fillId="0" borderId="0" xfId="0" applyFont="1" applyAlignment="1">
      <alignment horizontal="center" vertical="top"/>
    </xf>
    <xf numFmtId="0" fontId="1" fillId="0" borderId="0" xfId="0" applyFont="1" applyAlignment="1">
      <alignment horizontal="center" vertical="center"/>
    </xf>
    <xf numFmtId="0" fontId="34" fillId="4" borderId="1" xfId="1" applyFill="1" applyBorder="1" applyAlignment="1">
      <alignment horizontal="center"/>
    </xf>
    <xf numFmtId="0" fontId="34" fillId="4" borderId="2" xfId="1" applyFill="1" applyBorder="1" applyAlignment="1">
      <alignment horizontal="center"/>
    </xf>
    <xf numFmtId="0" fontId="34" fillId="4" borderId="3" xfId="1" applyFill="1" applyBorder="1" applyAlignment="1">
      <alignment horizontal="center"/>
    </xf>
    <xf numFmtId="0" fontId="0" fillId="0" borderId="0" xfId="0" applyNumberFormat="1"/>
    <xf numFmtId="2" fontId="0" fillId="0" borderId="0" xfId="0" applyNumberFormat="1" applyFill="1"/>
  </cellXfs>
  <cellStyles count="2">
    <cellStyle name="Hyperlink" xfId="1" builtinId="8"/>
    <cellStyle name="Normal" xfId="0" builtinId="0"/>
  </cellStyles>
  <dxfs count="6">
    <dxf>
      <numFmt numFmtId="19" formatCode="m/d/yyyy"/>
    </dxf>
    <dxf>
      <numFmt numFmtId="19" formatCode="m/d/yyyy"/>
    </dxf>
    <dxf>
      <numFmt numFmtId="19" formatCode="m/d/yyyy"/>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19" Type="http://schemas.microsoft.com/office/2017/06/relationships/rdRichValueTypes" Target="richData/rdRichValueTypes.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[lifting_tracker_app.xlsm]Volumes!sets_routines</c:name>
    <c:fmtId val="8"/>
  </c:pivotSource>
  <c:chart>
    <c:title>
      <c:tx>
        <c:rich>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r>
              <a:rPr lang="en-US">
                <a:solidFill>
                  <a:schemeClr val="tx1"/>
                </a:solidFill>
              </a:rPr>
              <a:t>Sets by </a:t>
            </a:r>
            <a:r>
              <a:rPr lang="en-US" baseline="0">
                <a:solidFill>
                  <a:schemeClr val="tx1"/>
                </a:solidFill>
              </a:rPr>
              <a:t>Routines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endParaRPr lang="en-US"/>
        </a:p>
      </c:txPr>
    </c:title>
    <c:autoTitleDeleted val="0"/>
    <c:pivotFmts>
      <c:pivotFmt>
        <c:idx val="0"/>
        <c:spPr>
          <a:solidFill>
            <a:schemeClr val="accent1"/>
          </a:solidFill>
          <a:ln w="2222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chemeClr val="tx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Volumes!$K$40:$K$41</c:f>
              <c:strCache>
                <c:ptCount val="1"/>
                <c:pt idx="0">
                  <c:v>Legs</c:v>
                </c:pt>
              </c:strCache>
            </c:strRef>
          </c:tx>
          <c:spPr>
            <a:ln w="22225" cap="rnd">
              <a:solidFill>
                <a:schemeClr val="accent1"/>
              </a:solidFill>
              <a:round/>
            </a:ln>
            <a:effectLst/>
          </c:spPr>
          <c:marker>
            <c:symbol val="none"/>
          </c:marker>
          <c:cat>
            <c:strRef>
              <c:f>Volumes!$J$42:$J$115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Volumes!$K$42:$K$115</c:f>
              <c:numCache>
                <c:formatCode>General</c:formatCode>
                <c:ptCount val="73"/>
                <c:pt idx="1">
                  <c:v>3</c:v>
                </c:pt>
                <c:pt idx="3">
                  <c:v>2</c:v>
                </c:pt>
                <c:pt idx="6">
                  <c:v>8</c:v>
                </c:pt>
                <c:pt idx="9">
                  <c:v>8</c:v>
                </c:pt>
                <c:pt idx="12">
                  <c:v>9</c:v>
                </c:pt>
                <c:pt idx="15">
                  <c:v>9</c:v>
                </c:pt>
                <c:pt idx="18">
                  <c:v>9</c:v>
                </c:pt>
                <c:pt idx="21">
                  <c:v>10</c:v>
                </c:pt>
                <c:pt idx="24">
                  <c:v>10</c:v>
                </c:pt>
                <c:pt idx="25">
                  <c:v>11</c:v>
                </c:pt>
                <c:pt idx="27">
                  <c:v>10</c:v>
                </c:pt>
                <c:pt idx="31">
                  <c:v>10</c:v>
                </c:pt>
                <c:pt idx="36">
                  <c:v>11</c:v>
                </c:pt>
                <c:pt idx="39">
                  <c:v>11</c:v>
                </c:pt>
                <c:pt idx="42">
                  <c:v>11</c:v>
                </c:pt>
                <c:pt idx="44">
                  <c:v>11</c:v>
                </c:pt>
                <c:pt idx="48">
                  <c:v>8</c:v>
                </c:pt>
                <c:pt idx="51">
                  <c:v>8</c:v>
                </c:pt>
                <c:pt idx="54">
                  <c:v>8</c:v>
                </c:pt>
                <c:pt idx="60">
                  <c:v>10</c:v>
                </c:pt>
                <c:pt idx="63">
                  <c:v>12</c:v>
                </c:pt>
                <c:pt idx="67">
                  <c:v>10</c:v>
                </c:pt>
                <c:pt idx="71">
                  <c:v>9</c:v>
                </c:pt>
              </c:numCache>
            </c:numRef>
          </c:val>
          <c:smooth val="0"/>
          <c:extLst>
            <c:ext xmlns:c16="http://schemas.microsoft.com/office/drawing/2014/chart" uri="{C3380CC4-5D6E-409C-BE32-E72D297353CC}">
              <c16:uniqueId val="{00000000-37EC-4C15-8A3D-0826FB7E4171}"/>
            </c:ext>
          </c:extLst>
        </c:ser>
        <c:ser>
          <c:idx val="1"/>
          <c:order val="1"/>
          <c:tx>
            <c:strRef>
              <c:f>Volumes!$L$40:$L$41</c:f>
              <c:strCache>
                <c:ptCount val="1"/>
                <c:pt idx="0">
                  <c:v>Pull</c:v>
                </c:pt>
              </c:strCache>
            </c:strRef>
          </c:tx>
          <c:spPr>
            <a:ln w="22225" cap="rnd">
              <a:solidFill>
                <a:schemeClr val="accent2"/>
              </a:solidFill>
              <a:round/>
            </a:ln>
            <a:effectLst/>
          </c:spPr>
          <c:marker>
            <c:symbol val="none"/>
          </c:marker>
          <c:cat>
            <c:strRef>
              <c:f>Volumes!$J$42:$J$115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Volumes!$L$42:$L$115</c:f>
              <c:numCache>
                <c:formatCode>General</c:formatCode>
                <c:ptCount val="73"/>
                <c:pt idx="0">
                  <c:v>6</c:v>
                </c:pt>
                <c:pt idx="5">
                  <c:v>6</c:v>
                </c:pt>
                <c:pt idx="8">
                  <c:v>6</c:v>
                </c:pt>
                <c:pt idx="11">
                  <c:v>8</c:v>
                </c:pt>
                <c:pt idx="14">
                  <c:v>7</c:v>
                </c:pt>
                <c:pt idx="17">
                  <c:v>8</c:v>
                </c:pt>
                <c:pt idx="20">
                  <c:v>12</c:v>
                </c:pt>
                <c:pt idx="23">
                  <c:v>12</c:v>
                </c:pt>
                <c:pt idx="29">
                  <c:v>15</c:v>
                </c:pt>
                <c:pt idx="33">
                  <c:v>9</c:v>
                </c:pt>
                <c:pt idx="34">
                  <c:v>13</c:v>
                </c:pt>
                <c:pt idx="37">
                  <c:v>17</c:v>
                </c:pt>
                <c:pt idx="40">
                  <c:v>20</c:v>
                </c:pt>
                <c:pt idx="46">
                  <c:v>16</c:v>
                </c:pt>
                <c:pt idx="49">
                  <c:v>17</c:v>
                </c:pt>
                <c:pt idx="53">
                  <c:v>19</c:v>
                </c:pt>
                <c:pt idx="56">
                  <c:v>18</c:v>
                </c:pt>
                <c:pt idx="59">
                  <c:v>19</c:v>
                </c:pt>
                <c:pt idx="62">
                  <c:v>19</c:v>
                </c:pt>
                <c:pt idx="65">
                  <c:v>17</c:v>
                </c:pt>
                <c:pt idx="69">
                  <c:v>16</c:v>
                </c:pt>
              </c:numCache>
            </c:numRef>
          </c:val>
          <c:smooth val="0"/>
          <c:extLst>
            <c:ext xmlns:c16="http://schemas.microsoft.com/office/drawing/2014/chart" uri="{C3380CC4-5D6E-409C-BE32-E72D297353CC}">
              <c16:uniqueId val="{00000000-4F42-487F-B5A0-32FA3DAEBA9C}"/>
            </c:ext>
          </c:extLst>
        </c:ser>
        <c:ser>
          <c:idx val="2"/>
          <c:order val="2"/>
          <c:tx>
            <c:strRef>
              <c:f>Volumes!$M$40:$M$41</c:f>
              <c:strCache>
                <c:ptCount val="1"/>
                <c:pt idx="0">
                  <c:v>Push</c:v>
                </c:pt>
              </c:strCache>
            </c:strRef>
          </c:tx>
          <c:spPr>
            <a:ln w="22225" cap="rnd">
              <a:solidFill>
                <a:srgbClr val="C00000"/>
              </a:solidFill>
              <a:round/>
            </a:ln>
            <a:effectLst/>
          </c:spPr>
          <c:marker>
            <c:symbol val="none"/>
          </c:marker>
          <c:cat>
            <c:strRef>
              <c:f>Volumes!$J$42:$J$115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Volumes!$M$42:$M$115</c:f>
              <c:numCache>
                <c:formatCode>General</c:formatCode>
                <c:ptCount val="73"/>
                <c:pt idx="2">
                  <c:v>13</c:v>
                </c:pt>
                <c:pt idx="4">
                  <c:v>13</c:v>
                </c:pt>
                <c:pt idx="7">
                  <c:v>13</c:v>
                </c:pt>
                <c:pt idx="10">
                  <c:v>14</c:v>
                </c:pt>
                <c:pt idx="13">
                  <c:v>16</c:v>
                </c:pt>
                <c:pt idx="16">
                  <c:v>18</c:v>
                </c:pt>
                <c:pt idx="19">
                  <c:v>18</c:v>
                </c:pt>
                <c:pt idx="22">
                  <c:v>21</c:v>
                </c:pt>
                <c:pt idx="26">
                  <c:v>21</c:v>
                </c:pt>
                <c:pt idx="28">
                  <c:v>19</c:v>
                </c:pt>
                <c:pt idx="30">
                  <c:v>19</c:v>
                </c:pt>
                <c:pt idx="32">
                  <c:v>21</c:v>
                </c:pt>
                <c:pt idx="35">
                  <c:v>17</c:v>
                </c:pt>
                <c:pt idx="38">
                  <c:v>17</c:v>
                </c:pt>
                <c:pt idx="41">
                  <c:v>18</c:v>
                </c:pt>
                <c:pt idx="43">
                  <c:v>17</c:v>
                </c:pt>
                <c:pt idx="45">
                  <c:v>19</c:v>
                </c:pt>
                <c:pt idx="47">
                  <c:v>18</c:v>
                </c:pt>
                <c:pt idx="50">
                  <c:v>16</c:v>
                </c:pt>
                <c:pt idx="52">
                  <c:v>18</c:v>
                </c:pt>
                <c:pt idx="55">
                  <c:v>15</c:v>
                </c:pt>
                <c:pt idx="58">
                  <c:v>19</c:v>
                </c:pt>
                <c:pt idx="61">
                  <c:v>16</c:v>
                </c:pt>
                <c:pt idx="64">
                  <c:v>15</c:v>
                </c:pt>
                <c:pt idx="68">
                  <c:v>16</c:v>
                </c:pt>
                <c:pt idx="72">
                  <c:v>14</c:v>
                </c:pt>
              </c:numCache>
            </c:numRef>
          </c:val>
          <c:smooth val="0"/>
          <c:extLst>
            <c:ext xmlns:c16="http://schemas.microsoft.com/office/drawing/2014/chart" uri="{C3380CC4-5D6E-409C-BE32-E72D297353CC}">
              <c16:uniqueId val="{00000001-4F42-487F-B5A0-32FA3DAEBA9C}"/>
            </c:ext>
          </c:extLst>
        </c:ser>
        <c:ser>
          <c:idx val="3"/>
          <c:order val="3"/>
          <c:tx>
            <c:strRef>
              <c:f>Volumes!$N$40:$N$41</c:f>
              <c:strCache>
                <c:ptCount val="1"/>
                <c:pt idx="0">
                  <c:v>Arms</c:v>
                </c:pt>
              </c:strCache>
            </c:strRef>
          </c:tx>
          <c:spPr>
            <a:ln w="22225" cap="rnd">
              <a:solidFill>
                <a:schemeClr val="accent4"/>
              </a:solidFill>
              <a:round/>
            </a:ln>
            <a:effectLst/>
          </c:spPr>
          <c:marker>
            <c:symbol val="none"/>
          </c:marker>
          <c:cat>
            <c:strRef>
              <c:f>Volumes!$J$42:$J$115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Volumes!$N$42:$N$115</c:f>
              <c:numCache>
                <c:formatCode>General</c:formatCode>
                <c:ptCount val="73"/>
                <c:pt idx="57">
                  <c:v>7</c:v>
                </c:pt>
                <c:pt idx="66">
                  <c:v>6</c:v>
                </c:pt>
                <c:pt idx="70">
                  <c:v>13</c:v>
                </c:pt>
              </c:numCache>
            </c:numRef>
          </c:val>
          <c:smooth val="0"/>
          <c:extLst>
            <c:ext xmlns:c16="http://schemas.microsoft.com/office/drawing/2014/chart" uri="{C3380CC4-5D6E-409C-BE32-E72D297353CC}">
              <c16:uniqueId val="{00000000-74BA-4931-8ADD-9E3CED61EB1B}"/>
            </c:ext>
          </c:extLst>
        </c:ser>
        <c:dLbls>
          <c:showLegendKey val="0"/>
          <c:showVal val="0"/>
          <c:showCatName val="0"/>
          <c:showSerName val="0"/>
          <c:showPercent val="0"/>
          <c:showBubbleSize val="0"/>
        </c:dLbls>
        <c:smooth val="0"/>
        <c:axId val="1209315248"/>
        <c:axId val="1209315608"/>
      </c:lineChart>
      <c:catAx>
        <c:axId val="1209315248"/>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title>
          <c:tx>
            <c:rich>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cap="none" spc="0" normalizeH="0" baseline="0">
                <a:solidFill>
                  <a:schemeClr val="tx1"/>
                </a:solidFill>
                <a:latin typeface="+mn-lt"/>
                <a:ea typeface="+mn-ea"/>
                <a:cs typeface="+mn-cs"/>
              </a:defRPr>
            </a:pPr>
            <a:endParaRPr lang="en-US"/>
          </a:p>
        </c:txPr>
        <c:crossAx val="1209315608"/>
        <c:crosses val="autoZero"/>
        <c:auto val="1"/>
        <c:lblAlgn val="ctr"/>
        <c:lblOffset val="100"/>
        <c:tickLblSkip val="7"/>
        <c:noMultiLvlLbl val="0"/>
      </c:catAx>
      <c:valAx>
        <c:axId val="1209315608"/>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solidFill>
                    <a:latin typeface="+mn-lt"/>
                    <a:ea typeface="+mn-ea"/>
                    <a:cs typeface="+mn-cs"/>
                  </a:defRPr>
                </a:pPr>
                <a:r>
                  <a:rPr lang="en-US">
                    <a:solidFill>
                      <a:schemeClr val="tx1"/>
                    </a:solidFill>
                  </a:rPr>
                  <a:t>Number of Sets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09315248"/>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[lifting_tracker_app.xlsm]Volumes!Vol_exercises</c:name>
    <c:fmtId val="20"/>
  </c:pivotSource>
  <c:chart>
    <c:title>
      <c:tx>
        <c:strRef>
          <c:f>'Interactive Actions'!$M$7</c:f>
          <c:strCache>
            <c:ptCount val="1"/>
            <c:pt idx="0">
              <c:v>Volume for Flat Bench Press</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j-lt"/>
              <a:ea typeface="+mj-ea"/>
              <a:cs typeface="+mj-cs"/>
            </a:defRPr>
          </a:pPr>
          <a:endParaRPr lang="en-US"/>
        </a:p>
      </c:txPr>
    </c:title>
    <c:autoTitleDeleted val="0"/>
    <c:pivotFmts>
      <c:pivotFmt>
        <c:idx val="0"/>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512218506933213E-2"/>
          <c:y val="0.14547038049633285"/>
          <c:w val="0.90848776902887141"/>
          <c:h val="0.58446791214394"/>
        </c:manualLayout>
      </c:layout>
      <c:areaChart>
        <c:grouping val="standard"/>
        <c:varyColors val="0"/>
        <c:ser>
          <c:idx val="0"/>
          <c:order val="0"/>
          <c:tx>
            <c:strRef>
              <c:f>'Interactive Actions'!$M$7</c:f>
              <c:strCache>
                <c:ptCount val="1"/>
                <c:pt idx="0">
                  <c:v>Total</c:v>
                </c:pt>
              </c:strCache>
            </c:strRef>
          </c:tx>
          <c:spPr>
            <a:solidFill>
              <a:schemeClr val="tx1"/>
            </a:solidFill>
            <a:ln>
              <a:solidFill>
                <a:srgbClr val="C00000"/>
              </a:solidFill>
            </a:ln>
            <a:effectLst/>
          </c:spPr>
          <c:cat>
            <c:strRef>
              <c:f>'Interactive Actions'!$M$7</c:f>
              <c:strCache>
                <c:ptCount val="25"/>
                <c:pt idx="0">
                  <c:v>9/15/2023</c:v>
                </c:pt>
                <c:pt idx="1">
                  <c:v>9/18/2023</c:v>
                </c:pt>
                <c:pt idx="2">
                  <c:v>9/21/2023</c:v>
                </c:pt>
                <c:pt idx="3">
                  <c:v>9/25/2023</c:v>
                </c:pt>
                <c:pt idx="4">
                  <c:v>9/28/2023</c:v>
                </c:pt>
                <c:pt idx="5">
                  <c:v>10/2/2023</c:v>
                </c:pt>
                <c:pt idx="6">
                  <c:v>10/5/2023</c:v>
                </c:pt>
                <c:pt idx="7">
                  <c:v>10/10/2023</c:v>
                </c:pt>
                <c:pt idx="8">
                  <c:v>10/19/2023</c:v>
                </c:pt>
                <c:pt idx="9">
                  <c:v>10/23/2023</c:v>
                </c:pt>
                <c:pt idx="10">
                  <c:v>10/26/2023</c:v>
                </c:pt>
                <c:pt idx="11">
                  <c:v>10/30/2023</c:v>
                </c:pt>
                <c:pt idx="12">
                  <c:v>11/8/2023</c:v>
                </c:pt>
                <c:pt idx="13">
                  <c:v>11/13/2023</c:v>
                </c:pt>
                <c:pt idx="14">
                  <c:v>11/20/2023</c:v>
                </c:pt>
                <c:pt idx="15">
                  <c:v>11/24/2023</c:v>
                </c:pt>
                <c:pt idx="16">
                  <c:v>11/27/2023</c:v>
                </c:pt>
                <c:pt idx="17">
                  <c:v>12/6/2023</c:v>
                </c:pt>
                <c:pt idx="18">
                  <c:v>12/9/2023</c:v>
                </c:pt>
                <c:pt idx="19">
                  <c:v>12/13/2023</c:v>
                </c:pt>
                <c:pt idx="20">
                  <c:v>12/17/2023</c:v>
                </c:pt>
                <c:pt idx="21">
                  <c:v>12/21/2023</c:v>
                </c:pt>
                <c:pt idx="22">
                  <c:v>12/25/2023</c:v>
                </c:pt>
                <c:pt idx="23">
                  <c:v>12/29/2023</c:v>
                </c:pt>
                <c:pt idx="24">
                  <c:v>1/2/2024</c:v>
                </c:pt>
              </c:strCache>
            </c:strRef>
          </c:cat>
          <c:val>
            <c:numRef>
              <c:f>'Interactive Actions'!$M$7</c:f>
              <c:numCache>
                <c:formatCode>General</c:formatCode>
                <c:ptCount val="25"/>
                <c:pt idx="0">
                  <c:v>3480</c:v>
                </c:pt>
                <c:pt idx="1">
                  <c:v>3270</c:v>
                </c:pt>
                <c:pt idx="2">
                  <c:v>3385</c:v>
                </c:pt>
                <c:pt idx="3">
                  <c:v>3640</c:v>
                </c:pt>
                <c:pt idx="4">
                  <c:v>4490</c:v>
                </c:pt>
                <c:pt idx="5">
                  <c:v>2740</c:v>
                </c:pt>
                <c:pt idx="6">
                  <c:v>2560</c:v>
                </c:pt>
                <c:pt idx="7">
                  <c:v>4140</c:v>
                </c:pt>
                <c:pt idx="8">
                  <c:v>5710</c:v>
                </c:pt>
                <c:pt idx="9">
                  <c:v>5600</c:v>
                </c:pt>
                <c:pt idx="10">
                  <c:v>6450</c:v>
                </c:pt>
                <c:pt idx="11">
                  <c:v>2625</c:v>
                </c:pt>
                <c:pt idx="12">
                  <c:v>1885</c:v>
                </c:pt>
                <c:pt idx="13">
                  <c:v>2375</c:v>
                </c:pt>
                <c:pt idx="14">
                  <c:v>3880</c:v>
                </c:pt>
                <c:pt idx="15">
                  <c:v>5540</c:v>
                </c:pt>
                <c:pt idx="16">
                  <c:v>5555</c:v>
                </c:pt>
                <c:pt idx="17">
                  <c:v>5825</c:v>
                </c:pt>
                <c:pt idx="18">
                  <c:v>5665</c:v>
                </c:pt>
                <c:pt idx="19">
                  <c:v>4370</c:v>
                </c:pt>
                <c:pt idx="20">
                  <c:v>4560</c:v>
                </c:pt>
                <c:pt idx="21">
                  <c:v>4260</c:v>
                </c:pt>
                <c:pt idx="22">
                  <c:v>4265</c:v>
                </c:pt>
                <c:pt idx="23">
                  <c:v>4640</c:v>
                </c:pt>
                <c:pt idx="24">
                  <c:v>3285</c:v>
                </c:pt>
              </c:numCache>
            </c:numRef>
          </c:val>
          <c:extLst>
            <c:ext xmlns:c16="http://schemas.microsoft.com/office/drawing/2014/chart" uri="{C3380CC4-5D6E-409C-BE32-E72D297353CC}">
              <c16:uniqueId val="{00000000-2143-4B20-8565-9C06A20123E4}"/>
            </c:ext>
          </c:extLst>
        </c:ser>
        <c:dLbls>
          <c:showLegendKey val="0"/>
          <c:showVal val="0"/>
          <c:showCatName val="0"/>
          <c:showSerName val="0"/>
          <c:showPercent val="0"/>
          <c:showBubbleSize val="0"/>
        </c:dLbls>
        <c:axId val="541902040"/>
        <c:axId val="541898080"/>
      </c:areaChart>
      <c:catAx>
        <c:axId val="54190204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m/d/yyyy" sourceLinked="0"/>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1" i="0" u="none" strike="noStrike" kern="1200" cap="none" spc="0" normalizeH="0" baseline="0">
                <a:solidFill>
                  <a:schemeClr val="tx1"/>
                </a:solidFill>
                <a:latin typeface="+mn-lt"/>
                <a:ea typeface="+mn-ea"/>
                <a:cs typeface="+mn-cs"/>
              </a:defRPr>
            </a:pPr>
            <a:endParaRPr lang="en-US"/>
          </a:p>
        </c:txPr>
        <c:crossAx val="541898080"/>
        <c:crosses val="autoZero"/>
        <c:auto val="1"/>
        <c:lblAlgn val="ctr"/>
        <c:lblOffset val="100"/>
        <c:noMultiLvlLbl val="0"/>
      </c:catAx>
      <c:valAx>
        <c:axId val="541898080"/>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000">
                    <a:solidFill>
                      <a:schemeClr val="tx1"/>
                    </a:solidFill>
                  </a:rPr>
                  <a:t>Volume</a:t>
                </a:r>
                <a:r>
                  <a:rPr lang="en-US" baseline="0"/>
                  <a:t> (lbs)</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41902040"/>
        <c:crosses val="autoZero"/>
        <c:crossBetween val="midCat"/>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[lifting_tracker_app.xlsm]Volumes!Vol_routines</c:name>
    <c:fmtId val="13"/>
  </c:pivotSource>
  <c:chart>
    <c:title>
      <c:tx>
        <c:rich>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r>
              <a:rPr lang="en-US" sz="1600" baseline="0">
                <a:solidFill>
                  <a:schemeClr val="tx1"/>
                </a:solidFill>
              </a:rPr>
              <a:t> Total </a:t>
            </a:r>
            <a:r>
              <a:rPr lang="en-US" sz="1600">
                <a:solidFill>
                  <a:schemeClr val="tx1"/>
                </a:solidFill>
              </a:rPr>
              <a:t>Volume by Routine </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222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2225" cap="rnd">
            <a:solidFill>
              <a:schemeClr val="accent4"/>
            </a:solidFill>
            <a:round/>
          </a:ln>
          <a:effectLst/>
        </c:spPr>
        <c:marker>
          <c:symbol val="none"/>
        </c:marker>
      </c:pivotFmt>
      <c:pivotFmt>
        <c:idx val="15"/>
        <c:spPr>
          <a:solidFill>
            <a:schemeClr val="accent1"/>
          </a:solidFill>
          <a:ln w="2222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222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2225" cap="rnd">
            <a:solidFill>
              <a:schemeClr val="accent4"/>
            </a:solidFill>
            <a:round/>
          </a:ln>
          <a:effectLst/>
        </c:spPr>
        <c:marker>
          <c:symbol val="none"/>
        </c:marker>
      </c:pivotFmt>
      <c:pivotFmt>
        <c:idx val="21"/>
        <c:spPr>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222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2225" cap="rnd">
            <a:solidFill>
              <a:schemeClr val="accent1"/>
            </a:solidFill>
            <a:round/>
          </a:ln>
          <a:effectLst/>
        </c:spPr>
        <c:marker>
          <c:symbol val="none"/>
        </c:marker>
      </c:pivotFmt>
      <c:pivotFmt>
        <c:idx val="26"/>
        <c:spPr>
          <a:solidFill>
            <a:schemeClr val="accent1"/>
          </a:solidFill>
          <a:ln w="22225" cap="rnd">
            <a:solidFill>
              <a:schemeClr val="accent1"/>
            </a:solidFill>
            <a:round/>
          </a:ln>
          <a:effectLst/>
        </c:spPr>
        <c:marker>
          <c:symbol val="none"/>
        </c:marker>
      </c:pivotFmt>
      <c:pivotFmt>
        <c:idx val="27"/>
        <c:spPr>
          <a:ln w="22225" cap="rnd">
            <a:solidFill>
              <a:schemeClr val="accent1"/>
            </a:solidFill>
            <a:round/>
          </a:ln>
          <a:effectLst/>
        </c:spPr>
        <c:marker>
          <c:symbol val="none"/>
        </c:marker>
      </c:pivotFmt>
    </c:pivotFmts>
    <c:plotArea>
      <c:layout/>
      <c:lineChart>
        <c:grouping val="standard"/>
        <c:varyColors val="0"/>
        <c:ser>
          <c:idx val="0"/>
          <c:order val="0"/>
          <c:tx>
            <c:strRef>
              <c:f>Volumes!$E$21:$E$22</c:f>
              <c:strCache>
                <c:ptCount val="1"/>
                <c:pt idx="0">
                  <c:v>Legs</c:v>
                </c:pt>
              </c:strCache>
            </c:strRef>
          </c:tx>
          <c:spPr>
            <a:ln w="22225" cap="rnd">
              <a:solidFill>
                <a:srgbClr val="002060"/>
              </a:solidFill>
              <a:round/>
            </a:ln>
            <a:effectLst/>
          </c:spPr>
          <c:marker>
            <c:symbol val="none"/>
          </c:marker>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Volumes!$E$23:$E$95</c:f>
              <c:numCache>
                <c:formatCode>General</c:formatCode>
                <c:ptCount val="73"/>
                <c:pt idx="1">
                  <c:v>3355</c:v>
                </c:pt>
                <c:pt idx="3">
                  <c:v>2850</c:v>
                </c:pt>
                <c:pt idx="6">
                  <c:v>6610</c:v>
                </c:pt>
                <c:pt idx="9">
                  <c:v>7030</c:v>
                </c:pt>
                <c:pt idx="12">
                  <c:v>8150</c:v>
                </c:pt>
                <c:pt idx="15">
                  <c:v>9130</c:v>
                </c:pt>
                <c:pt idx="18">
                  <c:v>10180</c:v>
                </c:pt>
                <c:pt idx="21">
                  <c:v>11730</c:v>
                </c:pt>
                <c:pt idx="24">
                  <c:v>11975</c:v>
                </c:pt>
                <c:pt idx="25">
                  <c:v>13020</c:v>
                </c:pt>
                <c:pt idx="27">
                  <c:v>13315</c:v>
                </c:pt>
                <c:pt idx="31">
                  <c:v>13050</c:v>
                </c:pt>
                <c:pt idx="36">
                  <c:v>14290</c:v>
                </c:pt>
                <c:pt idx="39">
                  <c:v>14490</c:v>
                </c:pt>
                <c:pt idx="42">
                  <c:v>14890</c:v>
                </c:pt>
                <c:pt idx="44">
                  <c:v>16255</c:v>
                </c:pt>
                <c:pt idx="48">
                  <c:v>12220</c:v>
                </c:pt>
                <c:pt idx="51">
                  <c:v>12345</c:v>
                </c:pt>
                <c:pt idx="54">
                  <c:v>12630</c:v>
                </c:pt>
                <c:pt idx="60">
                  <c:v>12065</c:v>
                </c:pt>
                <c:pt idx="63">
                  <c:v>11515</c:v>
                </c:pt>
                <c:pt idx="67">
                  <c:v>11195</c:v>
                </c:pt>
                <c:pt idx="71">
                  <c:v>10020</c:v>
                </c:pt>
              </c:numCache>
            </c:numRef>
          </c:val>
          <c:smooth val="0"/>
          <c:extLst>
            <c:ext xmlns:c16="http://schemas.microsoft.com/office/drawing/2014/chart" uri="{C3380CC4-5D6E-409C-BE32-E72D297353CC}">
              <c16:uniqueId val="{00000000-340B-4201-A3DE-069BDC7F5337}"/>
            </c:ext>
          </c:extLst>
        </c:ser>
        <c:ser>
          <c:idx val="1"/>
          <c:order val="1"/>
          <c:tx>
            <c:strRef>
              <c:f>Volumes!$F$21:$F$22</c:f>
              <c:strCache>
                <c:ptCount val="1"/>
                <c:pt idx="0">
                  <c:v>Pull</c:v>
                </c:pt>
              </c:strCache>
            </c:strRef>
          </c:tx>
          <c:spPr>
            <a:ln w="22225" cap="rnd">
              <a:solidFill>
                <a:schemeClr val="accent6">
                  <a:lumMod val="75000"/>
                </a:schemeClr>
              </a:solidFill>
              <a:round/>
            </a:ln>
            <a:effectLst/>
          </c:spPr>
          <c:marker>
            <c:symbol val="none"/>
          </c:marker>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Volumes!$F$23:$F$95</c:f>
              <c:numCache>
                <c:formatCode>General</c:formatCode>
                <c:ptCount val="73"/>
                <c:pt idx="0">
                  <c:v>3405</c:v>
                </c:pt>
                <c:pt idx="5">
                  <c:v>3725</c:v>
                </c:pt>
                <c:pt idx="8">
                  <c:v>4255</c:v>
                </c:pt>
                <c:pt idx="11">
                  <c:v>5695</c:v>
                </c:pt>
                <c:pt idx="14">
                  <c:v>5650</c:v>
                </c:pt>
                <c:pt idx="17">
                  <c:v>6105</c:v>
                </c:pt>
                <c:pt idx="20">
                  <c:v>9875</c:v>
                </c:pt>
                <c:pt idx="23">
                  <c:v>10275</c:v>
                </c:pt>
                <c:pt idx="29">
                  <c:v>11516</c:v>
                </c:pt>
                <c:pt idx="33">
                  <c:v>11311</c:v>
                </c:pt>
                <c:pt idx="34">
                  <c:v>15536</c:v>
                </c:pt>
                <c:pt idx="37">
                  <c:v>17820</c:v>
                </c:pt>
                <c:pt idx="40">
                  <c:v>21984</c:v>
                </c:pt>
                <c:pt idx="46">
                  <c:v>17511</c:v>
                </c:pt>
                <c:pt idx="49">
                  <c:v>18821</c:v>
                </c:pt>
                <c:pt idx="53">
                  <c:v>19744</c:v>
                </c:pt>
                <c:pt idx="56">
                  <c:v>20511</c:v>
                </c:pt>
                <c:pt idx="59">
                  <c:v>18580</c:v>
                </c:pt>
                <c:pt idx="62">
                  <c:v>17425</c:v>
                </c:pt>
                <c:pt idx="65">
                  <c:v>17325</c:v>
                </c:pt>
                <c:pt idx="69">
                  <c:v>18654</c:v>
                </c:pt>
              </c:numCache>
            </c:numRef>
          </c:val>
          <c:smooth val="0"/>
          <c:extLst>
            <c:ext xmlns:c16="http://schemas.microsoft.com/office/drawing/2014/chart" uri="{C3380CC4-5D6E-409C-BE32-E72D297353CC}">
              <c16:uniqueId val="{00000001-340B-4201-A3DE-069BDC7F5337}"/>
            </c:ext>
          </c:extLst>
        </c:ser>
        <c:ser>
          <c:idx val="2"/>
          <c:order val="2"/>
          <c:tx>
            <c:strRef>
              <c:f>Volumes!$G$21:$G$22</c:f>
              <c:strCache>
                <c:ptCount val="1"/>
                <c:pt idx="0">
                  <c:v>Push</c:v>
                </c:pt>
              </c:strCache>
            </c:strRef>
          </c:tx>
          <c:spPr>
            <a:ln w="22225" cap="rnd">
              <a:solidFill>
                <a:srgbClr val="C00000"/>
              </a:solidFill>
              <a:round/>
            </a:ln>
            <a:effectLst/>
          </c:spPr>
          <c:marker>
            <c:symbol val="none"/>
          </c:marker>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Volumes!$G$23:$G$95</c:f>
              <c:numCache>
                <c:formatCode>General</c:formatCode>
                <c:ptCount val="73"/>
                <c:pt idx="2">
                  <c:v>6460</c:v>
                </c:pt>
                <c:pt idx="4">
                  <c:v>6730</c:v>
                </c:pt>
                <c:pt idx="7">
                  <c:v>7045</c:v>
                </c:pt>
                <c:pt idx="10">
                  <c:v>7295</c:v>
                </c:pt>
                <c:pt idx="13">
                  <c:v>8755</c:v>
                </c:pt>
                <c:pt idx="16">
                  <c:v>9395</c:v>
                </c:pt>
                <c:pt idx="19">
                  <c:v>9830</c:v>
                </c:pt>
                <c:pt idx="22">
                  <c:v>11020</c:v>
                </c:pt>
                <c:pt idx="26">
                  <c:v>11635</c:v>
                </c:pt>
                <c:pt idx="28">
                  <c:v>11410</c:v>
                </c:pt>
                <c:pt idx="30">
                  <c:v>12210</c:v>
                </c:pt>
                <c:pt idx="32">
                  <c:v>11865</c:v>
                </c:pt>
                <c:pt idx="35">
                  <c:v>8790</c:v>
                </c:pt>
                <c:pt idx="38">
                  <c:v>10440</c:v>
                </c:pt>
                <c:pt idx="41">
                  <c:v>10320</c:v>
                </c:pt>
                <c:pt idx="43">
                  <c:v>9540</c:v>
                </c:pt>
                <c:pt idx="45">
                  <c:v>11985</c:v>
                </c:pt>
                <c:pt idx="47">
                  <c:v>12345</c:v>
                </c:pt>
                <c:pt idx="50">
                  <c:v>11605</c:v>
                </c:pt>
                <c:pt idx="52">
                  <c:v>11350</c:v>
                </c:pt>
                <c:pt idx="55">
                  <c:v>10645</c:v>
                </c:pt>
                <c:pt idx="58">
                  <c:v>13100</c:v>
                </c:pt>
                <c:pt idx="61">
                  <c:v>11380</c:v>
                </c:pt>
                <c:pt idx="64">
                  <c:v>10860</c:v>
                </c:pt>
                <c:pt idx="68">
                  <c:v>11560</c:v>
                </c:pt>
                <c:pt idx="72">
                  <c:v>10040</c:v>
                </c:pt>
              </c:numCache>
            </c:numRef>
          </c:val>
          <c:smooth val="0"/>
          <c:extLst>
            <c:ext xmlns:c16="http://schemas.microsoft.com/office/drawing/2014/chart" uri="{C3380CC4-5D6E-409C-BE32-E72D297353CC}">
              <c16:uniqueId val="{00000002-340B-4201-A3DE-069BDC7F5337}"/>
            </c:ext>
          </c:extLst>
        </c:ser>
        <c:ser>
          <c:idx val="3"/>
          <c:order val="3"/>
          <c:tx>
            <c:strRef>
              <c:f>Volumes!$H$21:$H$22</c:f>
              <c:strCache>
                <c:ptCount val="1"/>
                <c:pt idx="0">
                  <c:v>Arms</c:v>
                </c:pt>
              </c:strCache>
            </c:strRef>
          </c:tx>
          <c:spPr>
            <a:ln w="22225" cap="rnd">
              <a:solidFill>
                <a:schemeClr val="accent4"/>
              </a:solidFill>
              <a:round/>
            </a:ln>
            <a:effectLst/>
          </c:spPr>
          <c:marker>
            <c:symbol val="none"/>
          </c:marker>
          <c:dPt>
            <c:idx val="70"/>
            <c:marker>
              <c:symbol val="none"/>
            </c:marker>
            <c:bubble3D val="0"/>
            <c:extLst>
              <c:ext xmlns:c16="http://schemas.microsoft.com/office/drawing/2014/chart" uri="{C3380CC4-5D6E-409C-BE32-E72D297353CC}">
                <c16:uniqueId val="{00000003-340B-4201-A3DE-069BDC7F5337}"/>
              </c:ext>
            </c:extLst>
          </c:dPt>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Volumes!$H$23:$H$95</c:f>
              <c:numCache>
                <c:formatCode>General</c:formatCode>
                <c:ptCount val="73"/>
                <c:pt idx="57">
                  <c:v>2300</c:v>
                </c:pt>
                <c:pt idx="66">
                  <c:v>5680</c:v>
                </c:pt>
                <c:pt idx="70">
                  <c:v>8060</c:v>
                </c:pt>
              </c:numCache>
            </c:numRef>
          </c:val>
          <c:smooth val="0"/>
          <c:extLst>
            <c:ext xmlns:c16="http://schemas.microsoft.com/office/drawing/2014/chart" uri="{C3380CC4-5D6E-409C-BE32-E72D297353CC}">
              <c16:uniqueId val="{00000004-340B-4201-A3DE-069BDC7F5337}"/>
            </c:ext>
          </c:extLst>
        </c:ser>
        <c:dLbls>
          <c:showLegendKey val="0"/>
          <c:showVal val="0"/>
          <c:showCatName val="0"/>
          <c:showSerName val="0"/>
          <c:showPercent val="0"/>
          <c:showBubbleSize val="0"/>
        </c:dLbls>
        <c:smooth val="0"/>
        <c:axId val="2017138880"/>
        <c:axId val="2017139240"/>
      </c:lineChart>
      <c:catAx>
        <c:axId val="201713888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1" i="0" u="none" strike="noStrike" kern="1200" cap="none" spc="0" normalizeH="0" baseline="0">
                <a:solidFill>
                  <a:schemeClr val="tx1"/>
                </a:solidFill>
                <a:latin typeface="+mn-lt"/>
                <a:ea typeface="+mn-ea"/>
                <a:cs typeface="+mn-cs"/>
              </a:defRPr>
            </a:pPr>
            <a:endParaRPr lang="en-US"/>
          </a:p>
        </c:txPr>
        <c:crossAx val="2017139240"/>
        <c:crosses val="autoZero"/>
        <c:auto val="1"/>
        <c:lblAlgn val="ctr"/>
        <c:lblOffset val="100"/>
        <c:noMultiLvlLbl val="0"/>
      </c:catAx>
      <c:valAx>
        <c:axId val="2017139240"/>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sz="1000" baseline="0">
                    <a:solidFill>
                      <a:schemeClr val="tx1"/>
                    </a:solidFill>
                  </a:rPr>
                  <a:t> Volume</a:t>
                </a:r>
                <a:r>
                  <a:rPr lang="en-US" sz="1000">
                    <a:solidFill>
                      <a:schemeClr val="tx1"/>
                    </a:solidFill>
                  </a:rPr>
                  <a:t> (lbs)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17138880"/>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[lifting_tracker_app.xlsm]Max!PivotTable1</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solidFill>
                  <a:sysClr val="windowText" lastClr="000000"/>
                </a:solidFill>
              </a:rPr>
              <a:t>Peak Strength vs Sets Worked</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Max!$C$3</c:f>
              <c:strCache>
                <c:ptCount val="1"/>
                <c:pt idx="0">
                  <c:v># of Sets</c:v>
                </c:pt>
              </c:strCache>
            </c:strRef>
          </c:tx>
          <c:spPr>
            <a:solidFill>
              <a:schemeClr val="tx1"/>
            </a:solidFill>
            <a:ln>
              <a:noFill/>
            </a:ln>
            <a:effectLst/>
          </c:spPr>
          <c:cat>
            <c:strRef>
              <c:f>Max!$A$4:$A$21</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Max!$C$4:$C$21</c:f>
              <c:numCache>
                <c:formatCode>General</c:formatCode>
                <c:ptCount val="18"/>
                <c:pt idx="0">
                  <c:v>3</c:v>
                </c:pt>
                <c:pt idx="1">
                  <c:v>3</c:v>
                </c:pt>
                <c:pt idx="2">
                  <c:v>3</c:v>
                </c:pt>
                <c:pt idx="3">
                  <c:v>3</c:v>
                </c:pt>
                <c:pt idx="4">
                  <c:v>3</c:v>
                </c:pt>
                <c:pt idx="5">
                  <c:v>4</c:v>
                </c:pt>
                <c:pt idx="6">
                  <c:v>4</c:v>
                </c:pt>
                <c:pt idx="7">
                  <c:v>4</c:v>
                </c:pt>
                <c:pt idx="8">
                  <c:v>4</c:v>
                </c:pt>
                <c:pt idx="9">
                  <c:v>4</c:v>
                </c:pt>
                <c:pt idx="10">
                  <c:v>4</c:v>
                </c:pt>
                <c:pt idx="11">
                  <c:v>4</c:v>
                </c:pt>
                <c:pt idx="12">
                  <c:v>4</c:v>
                </c:pt>
                <c:pt idx="13">
                  <c:v>3</c:v>
                </c:pt>
                <c:pt idx="14">
                  <c:v>3</c:v>
                </c:pt>
                <c:pt idx="15">
                  <c:v>3</c:v>
                </c:pt>
                <c:pt idx="16">
                  <c:v>3</c:v>
                </c:pt>
                <c:pt idx="17">
                  <c:v>3</c:v>
                </c:pt>
              </c:numCache>
            </c:numRef>
          </c:val>
          <c:extLst>
            <c:ext xmlns:c16="http://schemas.microsoft.com/office/drawing/2014/chart" uri="{C3380CC4-5D6E-409C-BE32-E72D297353CC}">
              <c16:uniqueId val="{00000002-04EA-470B-B8C4-0FAD2725BEB3}"/>
            </c:ext>
          </c:extLst>
        </c:ser>
        <c:dLbls>
          <c:showLegendKey val="0"/>
          <c:showVal val="0"/>
          <c:showCatName val="0"/>
          <c:showSerName val="0"/>
          <c:showPercent val="0"/>
          <c:showBubbleSize val="0"/>
        </c:dLbls>
        <c:axId val="1211323632"/>
        <c:axId val="1211318952"/>
      </c:areaChart>
      <c:lineChart>
        <c:grouping val="standard"/>
        <c:varyColors val="0"/>
        <c:ser>
          <c:idx val="0"/>
          <c:order val="0"/>
          <c:tx>
            <c:strRef>
              <c:f>Max!$B$3</c:f>
              <c:strCache>
                <c:ptCount val="1"/>
                <c:pt idx="0">
                  <c:v>One Rep Max</c:v>
                </c:pt>
              </c:strCache>
            </c:strRef>
          </c:tx>
          <c:spPr>
            <a:ln w="22225" cap="rnd">
              <a:solidFill>
                <a:srgbClr val="C00000"/>
              </a:solidFill>
              <a:round/>
            </a:ln>
            <a:effectLst/>
          </c:spPr>
          <c:marker>
            <c:symbol val="none"/>
          </c:marker>
          <c:cat>
            <c:strRef>
              <c:f>Max!$A$4:$A$21</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Max!$B$4:$B$21</c:f>
              <c:numCache>
                <c:formatCode>General</c:formatCode>
                <c:ptCount val="18"/>
                <c:pt idx="0">
                  <c:v>73.33</c:v>
                </c:pt>
                <c:pt idx="1">
                  <c:v>100</c:v>
                </c:pt>
                <c:pt idx="2">
                  <c:v>105</c:v>
                </c:pt>
                <c:pt idx="3">
                  <c:v>129.83000000000001</c:v>
                </c:pt>
                <c:pt idx="4">
                  <c:v>133</c:v>
                </c:pt>
                <c:pt idx="5">
                  <c:v>126.67</c:v>
                </c:pt>
                <c:pt idx="6">
                  <c:v>140</c:v>
                </c:pt>
                <c:pt idx="7">
                  <c:v>146.66999999999999</c:v>
                </c:pt>
                <c:pt idx="8">
                  <c:v>147</c:v>
                </c:pt>
                <c:pt idx="9">
                  <c:v>133</c:v>
                </c:pt>
                <c:pt idx="10">
                  <c:v>97.5</c:v>
                </c:pt>
                <c:pt idx="11">
                  <c:v>97.5</c:v>
                </c:pt>
                <c:pt idx="12">
                  <c:v>97.5</c:v>
                </c:pt>
                <c:pt idx="13">
                  <c:v>105</c:v>
                </c:pt>
                <c:pt idx="14">
                  <c:v>105</c:v>
                </c:pt>
                <c:pt idx="15">
                  <c:v>112.5</c:v>
                </c:pt>
                <c:pt idx="16">
                  <c:v>120</c:v>
                </c:pt>
                <c:pt idx="17">
                  <c:v>127.5</c:v>
                </c:pt>
              </c:numCache>
            </c:numRef>
          </c:val>
          <c:smooth val="0"/>
          <c:extLst>
            <c:ext xmlns:c16="http://schemas.microsoft.com/office/drawing/2014/chart" uri="{C3380CC4-5D6E-409C-BE32-E72D297353CC}">
              <c16:uniqueId val="{00000000-04EA-470B-B8C4-0FAD2725BEB3}"/>
            </c:ext>
          </c:extLst>
        </c:ser>
        <c:dLbls>
          <c:showLegendKey val="0"/>
          <c:showVal val="0"/>
          <c:showCatName val="0"/>
          <c:showSerName val="0"/>
          <c:showPercent val="0"/>
          <c:showBubbleSize val="0"/>
        </c:dLbls>
        <c:marker val="1"/>
        <c:smooth val="0"/>
        <c:axId val="1164643144"/>
        <c:axId val="1164639544"/>
      </c:lineChart>
      <c:valAx>
        <c:axId val="1211318952"/>
        <c:scaling>
          <c:orientation val="minMax"/>
        </c:scaling>
        <c:delete val="0"/>
        <c:axPos val="r"/>
        <c:majorGridlines>
          <c:spPr>
            <a:ln w="9525" cap="flat" cmpd="sng" algn="ctr">
              <a:solidFill>
                <a:schemeClr val="dk1">
                  <a:lumMod val="15000"/>
                  <a:lumOff val="85000"/>
                </a:schemeClr>
              </a:solidFill>
              <a:round/>
            </a:ln>
            <a:effectLst/>
          </c:spPr>
        </c:majorGridlines>
        <c:title>
          <c:tx>
            <c:rich>
              <a:bodyPr rot="5400000" spcFirstLastPara="1" vertOverflow="ellipsis"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solidFill>
                      <a:sysClr val="windowText" lastClr="000000"/>
                    </a:solidFill>
                  </a:rPr>
                  <a:t>Volume (lbs)</a:t>
                </a:r>
              </a:p>
            </c:rich>
          </c:tx>
          <c:overlay val="0"/>
          <c:spPr>
            <a:noFill/>
            <a:ln>
              <a:noFill/>
            </a:ln>
            <a:effectLst/>
          </c:spPr>
          <c:txPr>
            <a:bodyPr rot="5400000" spcFirstLastPara="1" vertOverflow="ellipsis"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11323632"/>
        <c:crosses val="max"/>
        <c:crossBetween val="between"/>
      </c:valAx>
      <c:catAx>
        <c:axId val="121132363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ysClr val="windowText" lastClr="000000"/>
                </a:solidFill>
                <a:latin typeface="+mn-lt"/>
                <a:ea typeface="+mn-ea"/>
                <a:cs typeface="+mn-cs"/>
              </a:defRPr>
            </a:pPr>
            <a:endParaRPr lang="en-US"/>
          </a:p>
        </c:txPr>
        <c:crossAx val="1211318952"/>
        <c:crosses val="autoZero"/>
        <c:auto val="1"/>
        <c:lblAlgn val="ctr"/>
        <c:lblOffset val="100"/>
        <c:noMultiLvlLbl val="0"/>
      </c:catAx>
      <c:valAx>
        <c:axId val="1164639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4643144"/>
        <c:crosses val="autoZero"/>
        <c:crossBetween val="between"/>
      </c:valAx>
      <c:catAx>
        <c:axId val="1164643144"/>
        <c:scaling>
          <c:orientation val="minMax"/>
        </c:scaling>
        <c:delete val="1"/>
        <c:axPos val="b"/>
        <c:numFmt formatCode="General" sourceLinked="1"/>
        <c:majorTickMark val="out"/>
        <c:minorTickMark val="none"/>
        <c:tickLblPos val="nextTo"/>
        <c:crossAx val="1164639544"/>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[lifting_tracker_app.xlsm]Max!PivotTable2</c:name>
    <c:fmtId val="1"/>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solidFill>
                  <a:sysClr val="windowText" lastClr="000000"/>
                </a:solidFill>
              </a:rPr>
              <a:t>Peak Strength</a:t>
            </a:r>
            <a:r>
              <a:rPr lang="en-US" baseline="0">
                <a:solidFill>
                  <a:sysClr val="windowText" lastClr="000000"/>
                </a:solidFill>
              </a:rPr>
              <a:t> vs Average Reps Performed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Max!$F$27</c:f>
              <c:strCache>
                <c:ptCount val="1"/>
                <c:pt idx="0">
                  <c:v>Average of Reps</c:v>
                </c:pt>
              </c:strCache>
            </c:strRef>
          </c:tx>
          <c:spPr>
            <a:solidFill>
              <a:schemeClr val="tx1"/>
            </a:solidFill>
            <a:ln>
              <a:noFill/>
            </a:ln>
            <a:effectLst/>
          </c:spPr>
          <c:invertIfNegative val="0"/>
          <c:cat>
            <c:strRef>
              <c:f>Max!$D$28:$D$46</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Max!$F$28:$F$46</c:f>
              <c:numCache>
                <c:formatCode>General</c:formatCode>
                <c:ptCount val="18"/>
                <c:pt idx="0">
                  <c:v>10</c:v>
                </c:pt>
                <c:pt idx="1">
                  <c:v>10</c:v>
                </c:pt>
                <c:pt idx="2">
                  <c:v>11.333333333333334</c:v>
                </c:pt>
                <c:pt idx="3">
                  <c:v>11.666666666666666</c:v>
                </c:pt>
                <c:pt idx="4">
                  <c:v>13.333333333333334</c:v>
                </c:pt>
                <c:pt idx="5">
                  <c:v>11</c:v>
                </c:pt>
                <c:pt idx="6">
                  <c:v>11.25</c:v>
                </c:pt>
                <c:pt idx="7">
                  <c:v>10</c:v>
                </c:pt>
                <c:pt idx="8">
                  <c:v>11.5</c:v>
                </c:pt>
                <c:pt idx="9">
                  <c:v>12</c:v>
                </c:pt>
                <c:pt idx="10">
                  <c:v>15</c:v>
                </c:pt>
                <c:pt idx="11">
                  <c:v>15</c:v>
                </c:pt>
                <c:pt idx="12">
                  <c:v>15</c:v>
                </c:pt>
                <c:pt idx="13">
                  <c:v>15</c:v>
                </c:pt>
                <c:pt idx="14">
                  <c:v>15</c:v>
                </c:pt>
                <c:pt idx="15">
                  <c:v>15</c:v>
                </c:pt>
                <c:pt idx="16">
                  <c:v>15</c:v>
                </c:pt>
                <c:pt idx="17">
                  <c:v>14.666666666666666</c:v>
                </c:pt>
              </c:numCache>
            </c:numRef>
          </c:val>
          <c:extLst>
            <c:ext xmlns:c16="http://schemas.microsoft.com/office/drawing/2014/chart" uri="{C3380CC4-5D6E-409C-BE32-E72D297353CC}">
              <c16:uniqueId val="{00000001-BA17-4A9B-A91D-87DA54B18370}"/>
            </c:ext>
          </c:extLst>
        </c:ser>
        <c:dLbls>
          <c:showLegendKey val="0"/>
          <c:showVal val="0"/>
          <c:showCatName val="0"/>
          <c:showSerName val="0"/>
          <c:showPercent val="0"/>
          <c:showBubbleSize val="0"/>
        </c:dLbls>
        <c:gapWidth val="150"/>
        <c:axId val="1188938256"/>
        <c:axId val="1188932136"/>
      </c:barChart>
      <c:lineChart>
        <c:grouping val="standard"/>
        <c:varyColors val="0"/>
        <c:ser>
          <c:idx val="0"/>
          <c:order val="0"/>
          <c:tx>
            <c:strRef>
              <c:f>Max!$E$27</c:f>
              <c:strCache>
                <c:ptCount val="1"/>
                <c:pt idx="0">
                  <c:v>One Rep Max</c:v>
                </c:pt>
              </c:strCache>
            </c:strRef>
          </c:tx>
          <c:spPr>
            <a:ln w="22225" cap="rnd">
              <a:solidFill>
                <a:srgbClr val="C00000"/>
              </a:solidFill>
              <a:round/>
            </a:ln>
            <a:effectLst/>
          </c:spPr>
          <c:marker>
            <c:symbol val="none"/>
          </c:marker>
          <c:cat>
            <c:strRef>
              <c:f>Max!$D$28:$D$46</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Max!$E$28:$E$46</c:f>
              <c:numCache>
                <c:formatCode>General</c:formatCode>
                <c:ptCount val="18"/>
                <c:pt idx="0">
                  <c:v>73.33</c:v>
                </c:pt>
                <c:pt idx="1">
                  <c:v>100</c:v>
                </c:pt>
                <c:pt idx="2">
                  <c:v>105</c:v>
                </c:pt>
                <c:pt idx="3">
                  <c:v>129.83000000000001</c:v>
                </c:pt>
                <c:pt idx="4">
                  <c:v>133</c:v>
                </c:pt>
                <c:pt idx="5">
                  <c:v>126.67</c:v>
                </c:pt>
                <c:pt idx="6">
                  <c:v>140</c:v>
                </c:pt>
                <c:pt idx="7">
                  <c:v>146.66999999999999</c:v>
                </c:pt>
                <c:pt idx="8">
                  <c:v>147</c:v>
                </c:pt>
                <c:pt idx="9">
                  <c:v>133</c:v>
                </c:pt>
                <c:pt idx="10">
                  <c:v>97.5</c:v>
                </c:pt>
                <c:pt idx="11">
                  <c:v>97.5</c:v>
                </c:pt>
                <c:pt idx="12">
                  <c:v>97.5</c:v>
                </c:pt>
                <c:pt idx="13">
                  <c:v>105</c:v>
                </c:pt>
                <c:pt idx="14">
                  <c:v>105</c:v>
                </c:pt>
                <c:pt idx="15">
                  <c:v>112.5</c:v>
                </c:pt>
                <c:pt idx="16">
                  <c:v>120</c:v>
                </c:pt>
                <c:pt idx="17">
                  <c:v>127.5</c:v>
                </c:pt>
              </c:numCache>
            </c:numRef>
          </c:val>
          <c:smooth val="0"/>
          <c:extLst>
            <c:ext xmlns:c16="http://schemas.microsoft.com/office/drawing/2014/chart" uri="{C3380CC4-5D6E-409C-BE32-E72D297353CC}">
              <c16:uniqueId val="{00000000-BA17-4A9B-A91D-87DA54B18370}"/>
            </c:ext>
          </c:extLst>
        </c:ser>
        <c:dLbls>
          <c:showLegendKey val="0"/>
          <c:showVal val="0"/>
          <c:showCatName val="0"/>
          <c:showSerName val="0"/>
          <c:showPercent val="0"/>
          <c:showBubbleSize val="0"/>
        </c:dLbls>
        <c:marker val="1"/>
        <c:smooth val="0"/>
        <c:axId val="1188931416"/>
        <c:axId val="1188933576"/>
      </c:lineChart>
      <c:catAx>
        <c:axId val="118893141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cap="none" spc="0" normalizeH="0" baseline="0">
                <a:solidFill>
                  <a:sysClr val="windowText" lastClr="000000"/>
                </a:solidFill>
                <a:latin typeface="+mn-lt"/>
                <a:ea typeface="+mn-ea"/>
                <a:cs typeface="+mn-cs"/>
              </a:defRPr>
            </a:pPr>
            <a:endParaRPr lang="en-US"/>
          </a:p>
        </c:txPr>
        <c:crossAx val="1188933576"/>
        <c:crosses val="autoZero"/>
        <c:auto val="1"/>
        <c:lblAlgn val="ctr"/>
        <c:lblOffset val="100"/>
        <c:noMultiLvlLbl val="0"/>
      </c:catAx>
      <c:valAx>
        <c:axId val="1188933576"/>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solidFill>
                      <a:sysClr val="windowText" lastClr="000000"/>
                    </a:solidFill>
                  </a:rPr>
                  <a:t>1-Rep Max (lbs)</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8931416"/>
        <c:crosses val="autoZero"/>
        <c:crossBetween val="between"/>
      </c:valAx>
      <c:valAx>
        <c:axId val="1188932136"/>
        <c:scaling>
          <c:orientation val="minMax"/>
        </c:scaling>
        <c:delete val="0"/>
        <c:axPos val="r"/>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sz="900" b="1" i="0" u="none" strike="noStrike" kern="1200" baseline="0">
                    <a:solidFill>
                      <a:sysClr val="windowText" lastClr="000000"/>
                    </a:solidFill>
                  </a:rPr>
                  <a:t>Volume (lbs)</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8938256"/>
        <c:crosses val="max"/>
        <c:crossBetween val="between"/>
      </c:valAx>
      <c:catAx>
        <c:axId val="1188938256"/>
        <c:scaling>
          <c:orientation val="minMax"/>
        </c:scaling>
        <c:delete val="1"/>
        <c:axPos val="b"/>
        <c:numFmt formatCode="General" sourceLinked="1"/>
        <c:majorTickMark val="out"/>
        <c:minorTickMark val="none"/>
        <c:tickLblPos val="nextTo"/>
        <c:crossAx val="1188932136"/>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[lifting_tracker_app.xlsm]Volumes!Vol_routines</c:name>
    <c:fmtId val="6"/>
  </c:pivotSource>
  <c:chart>
    <c:title>
      <c:tx>
        <c:rich>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r>
              <a:rPr lang="en-US" sz="1600" baseline="0">
                <a:solidFill>
                  <a:schemeClr val="tx1"/>
                </a:solidFill>
              </a:rPr>
              <a:t>  </a:t>
            </a:r>
            <a:r>
              <a:rPr lang="en-US" sz="1600">
                <a:solidFill>
                  <a:schemeClr val="tx1"/>
                </a:solidFill>
              </a:rPr>
              <a:t>Volume by Routine </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222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222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2225" cap="rnd">
            <a:solidFill>
              <a:schemeClr val="accent1"/>
            </a:solidFill>
            <a:round/>
          </a:ln>
          <a:effectLst/>
        </c:spPr>
        <c:marker>
          <c:symbol val="none"/>
        </c:marker>
      </c:pivotFmt>
      <c:pivotFmt>
        <c:idx val="15"/>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2225" cap="rnd">
            <a:solidFill>
              <a:schemeClr val="accent1"/>
            </a:solidFill>
            <a:round/>
          </a:ln>
          <a:effectLst/>
        </c:spPr>
        <c:marker>
          <c:symbol val="none"/>
        </c:marker>
      </c:pivotFmt>
      <c:pivotFmt>
        <c:idx val="17"/>
        <c:spPr>
          <a:ln w="22225" cap="rnd">
            <a:solidFill>
              <a:schemeClr val="accent1"/>
            </a:solidFill>
            <a:round/>
          </a:ln>
          <a:effectLst/>
        </c:spPr>
        <c:marker>
          <c:symbol val="none"/>
        </c:marker>
      </c:pivotFmt>
    </c:pivotFmts>
    <c:plotArea>
      <c:layout/>
      <c:lineChart>
        <c:grouping val="standard"/>
        <c:varyColors val="0"/>
        <c:ser>
          <c:idx val="0"/>
          <c:order val="0"/>
          <c:tx>
            <c:strRef>
              <c:f>Volumes!$E$21:$E$22</c:f>
              <c:strCache>
                <c:ptCount val="1"/>
                <c:pt idx="0">
                  <c:v>Legs</c:v>
                </c:pt>
              </c:strCache>
            </c:strRef>
          </c:tx>
          <c:spPr>
            <a:ln w="22225" cap="rnd">
              <a:solidFill>
                <a:srgbClr val="002060"/>
              </a:solidFill>
              <a:round/>
            </a:ln>
            <a:effectLst/>
          </c:spPr>
          <c:marker>
            <c:symbol val="none"/>
          </c:marker>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Volumes!$E$23:$E$95</c:f>
              <c:numCache>
                <c:formatCode>General</c:formatCode>
                <c:ptCount val="73"/>
                <c:pt idx="1">
                  <c:v>3355</c:v>
                </c:pt>
                <c:pt idx="3">
                  <c:v>2850</c:v>
                </c:pt>
                <c:pt idx="6">
                  <c:v>6610</c:v>
                </c:pt>
                <c:pt idx="9">
                  <c:v>7030</c:v>
                </c:pt>
                <c:pt idx="12">
                  <c:v>8150</c:v>
                </c:pt>
                <c:pt idx="15">
                  <c:v>9130</c:v>
                </c:pt>
                <c:pt idx="18">
                  <c:v>10180</c:v>
                </c:pt>
                <c:pt idx="21">
                  <c:v>11730</c:v>
                </c:pt>
                <c:pt idx="24">
                  <c:v>11975</c:v>
                </c:pt>
                <c:pt idx="25">
                  <c:v>13020</c:v>
                </c:pt>
                <c:pt idx="27">
                  <c:v>13315</c:v>
                </c:pt>
                <c:pt idx="31">
                  <c:v>13050</c:v>
                </c:pt>
                <c:pt idx="36">
                  <c:v>14290</c:v>
                </c:pt>
                <c:pt idx="39">
                  <c:v>14490</c:v>
                </c:pt>
                <c:pt idx="42">
                  <c:v>14890</c:v>
                </c:pt>
                <c:pt idx="44">
                  <c:v>16255</c:v>
                </c:pt>
                <c:pt idx="48">
                  <c:v>12220</c:v>
                </c:pt>
                <c:pt idx="51">
                  <c:v>12345</c:v>
                </c:pt>
                <c:pt idx="54">
                  <c:v>12630</c:v>
                </c:pt>
                <c:pt idx="60">
                  <c:v>12065</c:v>
                </c:pt>
                <c:pt idx="63">
                  <c:v>11515</c:v>
                </c:pt>
                <c:pt idx="67">
                  <c:v>11195</c:v>
                </c:pt>
                <c:pt idx="71">
                  <c:v>10020</c:v>
                </c:pt>
              </c:numCache>
            </c:numRef>
          </c:val>
          <c:smooth val="0"/>
          <c:extLst>
            <c:ext xmlns:c16="http://schemas.microsoft.com/office/drawing/2014/chart" uri="{C3380CC4-5D6E-409C-BE32-E72D297353CC}">
              <c16:uniqueId val="{00000000-749C-4857-BCC6-5E4F2C0B404F}"/>
            </c:ext>
          </c:extLst>
        </c:ser>
        <c:ser>
          <c:idx val="1"/>
          <c:order val="1"/>
          <c:tx>
            <c:strRef>
              <c:f>Volumes!$F$21:$F$22</c:f>
              <c:strCache>
                <c:ptCount val="1"/>
                <c:pt idx="0">
                  <c:v>Pull</c:v>
                </c:pt>
              </c:strCache>
            </c:strRef>
          </c:tx>
          <c:spPr>
            <a:ln w="22225" cap="rnd">
              <a:solidFill>
                <a:schemeClr val="accent6">
                  <a:lumMod val="75000"/>
                </a:schemeClr>
              </a:solidFill>
              <a:round/>
            </a:ln>
            <a:effectLst/>
          </c:spPr>
          <c:marker>
            <c:symbol val="none"/>
          </c:marker>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Volumes!$F$23:$F$95</c:f>
              <c:numCache>
                <c:formatCode>General</c:formatCode>
                <c:ptCount val="73"/>
                <c:pt idx="0">
                  <c:v>3405</c:v>
                </c:pt>
                <c:pt idx="5">
                  <c:v>3725</c:v>
                </c:pt>
                <c:pt idx="8">
                  <c:v>4255</c:v>
                </c:pt>
                <c:pt idx="11">
                  <c:v>5695</c:v>
                </c:pt>
                <c:pt idx="14">
                  <c:v>5650</c:v>
                </c:pt>
                <c:pt idx="17">
                  <c:v>6105</c:v>
                </c:pt>
                <c:pt idx="20">
                  <c:v>9875</c:v>
                </c:pt>
                <c:pt idx="23">
                  <c:v>10275</c:v>
                </c:pt>
                <c:pt idx="29">
                  <c:v>11516</c:v>
                </c:pt>
                <c:pt idx="33">
                  <c:v>11311</c:v>
                </c:pt>
                <c:pt idx="34">
                  <c:v>15536</c:v>
                </c:pt>
                <c:pt idx="37">
                  <c:v>17820</c:v>
                </c:pt>
                <c:pt idx="40">
                  <c:v>21984</c:v>
                </c:pt>
                <c:pt idx="46">
                  <c:v>17511</c:v>
                </c:pt>
                <c:pt idx="49">
                  <c:v>18821</c:v>
                </c:pt>
                <c:pt idx="53">
                  <c:v>19744</c:v>
                </c:pt>
                <c:pt idx="56">
                  <c:v>20511</c:v>
                </c:pt>
                <c:pt idx="59">
                  <c:v>18580</c:v>
                </c:pt>
                <c:pt idx="62">
                  <c:v>17425</c:v>
                </c:pt>
                <c:pt idx="65">
                  <c:v>17325</c:v>
                </c:pt>
                <c:pt idx="69">
                  <c:v>18654</c:v>
                </c:pt>
              </c:numCache>
            </c:numRef>
          </c:val>
          <c:smooth val="0"/>
          <c:extLst>
            <c:ext xmlns:c16="http://schemas.microsoft.com/office/drawing/2014/chart" uri="{C3380CC4-5D6E-409C-BE32-E72D297353CC}">
              <c16:uniqueId val="{00000001-CE03-49DD-AA1A-3EE86D6B2673}"/>
            </c:ext>
          </c:extLst>
        </c:ser>
        <c:ser>
          <c:idx val="2"/>
          <c:order val="2"/>
          <c:tx>
            <c:strRef>
              <c:f>Volumes!$G$21:$G$22</c:f>
              <c:strCache>
                <c:ptCount val="1"/>
                <c:pt idx="0">
                  <c:v>Push</c:v>
                </c:pt>
              </c:strCache>
            </c:strRef>
          </c:tx>
          <c:spPr>
            <a:ln w="22225" cap="rnd">
              <a:solidFill>
                <a:srgbClr val="C00000"/>
              </a:solidFill>
              <a:round/>
            </a:ln>
            <a:effectLst/>
          </c:spPr>
          <c:marker>
            <c:symbol val="none"/>
          </c:marker>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Volumes!$G$23:$G$95</c:f>
              <c:numCache>
                <c:formatCode>General</c:formatCode>
                <c:ptCount val="73"/>
                <c:pt idx="2">
                  <c:v>6460</c:v>
                </c:pt>
                <c:pt idx="4">
                  <c:v>6730</c:v>
                </c:pt>
                <c:pt idx="7">
                  <c:v>7045</c:v>
                </c:pt>
                <c:pt idx="10">
                  <c:v>7295</c:v>
                </c:pt>
                <c:pt idx="13">
                  <c:v>8755</c:v>
                </c:pt>
                <c:pt idx="16">
                  <c:v>9395</c:v>
                </c:pt>
                <c:pt idx="19">
                  <c:v>9830</c:v>
                </c:pt>
                <c:pt idx="22">
                  <c:v>11020</c:v>
                </c:pt>
                <c:pt idx="26">
                  <c:v>11635</c:v>
                </c:pt>
                <c:pt idx="28">
                  <c:v>11410</c:v>
                </c:pt>
                <c:pt idx="30">
                  <c:v>12210</c:v>
                </c:pt>
                <c:pt idx="32">
                  <c:v>11865</c:v>
                </c:pt>
                <c:pt idx="35">
                  <c:v>8790</c:v>
                </c:pt>
                <c:pt idx="38">
                  <c:v>10440</c:v>
                </c:pt>
                <c:pt idx="41">
                  <c:v>10320</c:v>
                </c:pt>
                <c:pt idx="43">
                  <c:v>9540</c:v>
                </c:pt>
                <c:pt idx="45">
                  <c:v>11985</c:v>
                </c:pt>
                <c:pt idx="47">
                  <c:v>12345</c:v>
                </c:pt>
                <c:pt idx="50">
                  <c:v>11605</c:v>
                </c:pt>
                <c:pt idx="52">
                  <c:v>11350</c:v>
                </c:pt>
                <c:pt idx="55">
                  <c:v>10645</c:v>
                </c:pt>
                <c:pt idx="58">
                  <c:v>13100</c:v>
                </c:pt>
                <c:pt idx="61">
                  <c:v>11380</c:v>
                </c:pt>
                <c:pt idx="64">
                  <c:v>10860</c:v>
                </c:pt>
                <c:pt idx="68">
                  <c:v>11560</c:v>
                </c:pt>
                <c:pt idx="72">
                  <c:v>10040</c:v>
                </c:pt>
              </c:numCache>
            </c:numRef>
          </c:val>
          <c:smooth val="0"/>
          <c:extLst>
            <c:ext xmlns:c16="http://schemas.microsoft.com/office/drawing/2014/chart" uri="{C3380CC4-5D6E-409C-BE32-E72D297353CC}">
              <c16:uniqueId val="{00000002-CE03-49DD-AA1A-3EE86D6B2673}"/>
            </c:ext>
          </c:extLst>
        </c:ser>
        <c:ser>
          <c:idx val="3"/>
          <c:order val="3"/>
          <c:tx>
            <c:strRef>
              <c:f>Volumes!$H$21:$H$22</c:f>
              <c:strCache>
                <c:ptCount val="1"/>
                <c:pt idx="0">
                  <c:v>Arms</c:v>
                </c:pt>
              </c:strCache>
            </c:strRef>
          </c:tx>
          <c:spPr>
            <a:ln w="22225" cap="rnd">
              <a:solidFill>
                <a:schemeClr val="accent4"/>
              </a:solidFill>
              <a:round/>
            </a:ln>
            <a:effectLst/>
          </c:spPr>
          <c:marker>
            <c:symbol val="none"/>
          </c:marker>
          <c:dPt>
            <c:idx val="70"/>
            <c:marker>
              <c:symbol val="none"/>
            </c:marker>
            <c:bubble3D val="0"/>
            <c:extLst>
              <c:ext xmlns:c16="http://schemas.microsoft.com/office/drawing/2014/chart" uri="{C3380CC4-5D6E-409C-BE32-E72D297353CC}">
                <c16:uniqueId val="{00000000-68FF-4476-B753-3F57AB3E186A}"/>
              </c:ext>
            </c:extLst>
          </c:dPt>
          <c:cat>
            <c:strRef>
              <c:f>Volumes!$D$23:$D$95</c:f>
              <c:strCache>
                <c:ptCount val="73"/>
                <c:pt idx="0">
                  <c:v>9/13/2023</c:v>
                </c:pt>
                <c:pt idx="1">
                  <c:v>9/14/2023</c:v>
                </c:pt>
                <c:pt idx="2">
                  <c:v>9/15/2023</c:v>
                </c:pt>
                <c:pt idx="3">
                  <c:v>9/17/2023</c:v>
                </c:pt>
                <c:pt idx="4">
                  <c:v>9/18/2023</c:v>
                </c:pt>
                <c:pt idx="5">
                  <c:v>9/19/2023</c:v>
                </c:pt>
                <c:pt idx="6">
                  <c:v>9/20/2023</c:v>
                </c:pt>
                <c:pt idx="7">
                  <c:v>9/21/2023</c:v>
                </c:pt>
                <c:pt idx="8">
                  <c:v>9/22/2023</c:v>
                </c:pt>
                <c:pt idx="9">
                  <c:v>9/24/2023</c:v>
                </c:pt>
                <c:pt idx="10">
                  <c:v>9/25/2023</c:v>
                </c:pt>
                <c:pt idx="11">
                  <c:v>9/26/2023</c:v>
                </c:pt>
                <c:pt idx="12">
                  <c:v>9/27/2023</c:v>
                </c:pt>
                <c:pt idx="13">
                  <c:v>9/28/2023</c:v>
                </c:pt>
                <c:pt idx="14">
                  <c:v>9/29/2023</c:v>
                </c:pt>
                <c:pt idx="15">
                  <c:v>10/1/2023</c:v>
                </c:pt>
                <c:pt idx="16">
                  <c:v>10/2/2023</c:v>
                </c:pt>
                <c:pt idx="17">
                  <c:v>10/3/2023</c:v>
                </c:pt>
                <c:pt idx="18">
                  <c:v>10/4/2023</c:v>
                </c:pt>
                <c:pt idx="19">
                  <c:v>10/5/2023</c:v>
                </c:pt>
                <c:pt idx="20">
                  <c:v>10/6/2023</c:v>
                </c:pt>
                <c:pt idx="21">
                  <c:v>10/9/2023</c:v>
                </c:pt>
                <c:pt idx="22">
                  <c:v>10/10/2023</c:v>
                </c:pt>
                <c:pt idx="23">
                  <c:v>10/11/2023</c:v>
                </c:pt>
                <c:pt idx="24">
                  <c:v>10/12/2023</c:v>
                </c:pt>
                <c:pt idx="25">
                  <c:v>10/18/2023</c:v>
                </c:pt>
                <c:pt idx="26">
                  <c:v>10/19/2023</c:v>
                </c:pt>
                <c:pt idx="27">
                  <c:v>10/21/2023</c:v>
                </c:pt>
                <c:pt idx="28">
                  <c:v>10/23/2023</c:v>
                </c:pt>
                <c:pt idx="29">
                  <c:v>10/24/2023</c:v>
                </c:pt>
                <c:pt idx="30">
                  <c:v>10/26/2023</c:v>
                </c:pt>
                <c:pt idx="31">
                  <c:v>10/28/2023</c:v>
                </c:pt>
                <c:pt idx="32">
                  <c:v>10/30/2023</c:v>
                </c:pt>
                <c:pt idx="33">
                  <c:v>10/31/2023</c:v>
                </c:pt>
                <c:pt idx="34">
                  <c:v>11/7/2023</c:v>
                </c:pt>
                <c:pt idx="35">
                  <c:v>11/8/2023</c:v>
                </c:pt>
                <c:pt idx="36">
                  <c:v>11/9/2023</c:v>
                </c:pt>
                <c:pt idx="37">
                  <c:v>11/12/2023</c:v>
                </c:pt>
                <c:pt idx="38">
                  <c:v>11/13/2023</c:v>
                </c:pt>
                <c:pt idx="39">
                  <c:v>11/14/2023</c:v>
                </c:pt>
                <c:pt idx="40">
                  <c:v>11/16/2023</c:v>
                </c:pt>
                <c:pt idx="41">
                  <c:v>11/17/2023</c:v>
                </c:pt>
                <c:pt idx="42">
                  <c:v>11/19/2023</c:v>
                </c:pt>
                <c:pt idx="43">
                  <c:v>11/20/2023</c:v>
                </c:pt>
                <c:pt idx="44">
                  <c:v>11/23/2023</c:v>
                </c:pt>
                <c:pt idx="45">
                  <c:v>11/24/2023</c:v>
                </c:pt>
                <c:pt idx="46">
                  <c:v>11/26/2023</c:v>
                </c:pt>
                <c:pt idx="47">
                  <c:v>11/27/2023</c:v>
                </c:pt>
                <c:pt idx="48">
                  <c:v>11/28/2023</c:v>
                </c:pt>
                <c:pt idx="49">
                  <c:v>12/5/2023</c:v>
                </c:pt>
                <c:pt idx="50">
                  <c:v>12/6/2023</c:v>
                </c:pt>
                <c:pt idx="51">
                  <c:v>12/8/2023</c:v>
                </c:pt>
                <c:pt idx="52">
                  <c:v>12/9/2023</c:v>
                </c:pt>
                <c:pt idx="53">
                  <c:v>12/10/2023</c:v>
                </c:pt>
                <c:pt idx="54">
                  <c:v>12/12/2023</c:v>
                </c:pt>
                <c:pt idx="55">
                  <c:v>12/13/2023</c:v>
                </c:pt>
                <c:pt idx="56">
                  <c:v>12/14/2023</c:v>
                </c:pt>
                <c:pt idx="57">
                  <c:v>12/15/2023</c:v>
                </c:pt>
                <c:pt idx="58">
                  <c:v>12/17/2023</c:v>
                </c:pt>
                <c:pt idx="59">
                  <c:v>12/18/2023</c:v>
                </c:pt>
                <c:pt idx="60">
                  <c:v>12/20/2023</c:v>
                </c:pt>
                <c:pt idx="61">
                  <c:v>12/21/2023</c:v>
                </c:pt>
                <c:pt idx="62">
                  <c:v>12/22/2023</c:v>
                </c:pt>
                <c:pt idx="63">
                  <c:v>12/24/2023</c:v>
                </c:pt>
                <c:pt idx="64">
                  <c:v>12/25/2023</c:v>
                </c:pt>
                <c:pt idx="65">
                  <c:v>12/26/2023</c:v>
                </c:pt>
                <c:pt idx="66">
                  <c:v>12/27/2023</c:v>
                </c:pt>
                <c:pt idx="67">
                  <c:v>12/28/2023</c:v>
                </c:pt>
                <c:pt idx="68">
                  <c:v>12/29/2023</c:v>
                </c:pt>
                <c:pt idx="69">
                  <c:v>12/30/2023</c:v>
                </c:pt>
                <c:pt idx="70">
                  <c:v>12/31/2023</c:v>
                </c:pt>
                <c:pt idx="71">
                  <c:v>1/1/2024</c:v>
                </c:pt>
                <c:pt idx="72">
                  <c:v>1/2/2024</c:v>
                </c:pt>
              </c:strCache>
            </c:strRef>
          </c:cat>
          <c:val>
            <c:numRef>
              <c:f>Volumes!$H$23:$H$95</c:f>
              <c:numCache>
                <c:formatCode>General</c:formatCode>
                <c:ptCount val="73"/>
                <c:pt idx="57">
                  <c:v>2300</c:v>
                </c:pt>
                <c:pt idx="66">
                  <c:v>5680</c:v>
                </c:pt>
                <c:pt idx="70">
                  <c:v>8060</c:v>
                </c:pt>
              </c:numCache>
            </c:numRef>
          </c:val>
          <c:smooth val="0"/>
          <c:extLst>
            <c:ext xmlns:c16="http://schemas.microsoft.com/office/drawing/2014/chart" uri="{C3380CC4-5D6E-409C-BE32-E72D297353CC}">
              <c16:uniqueId val="{00000000-B9A9-45F0-8B5B-C1FDEC7BADE8}"/>
            </c:ext>
          </c:extLst>
        </c:ser>
        <c:dLbls>
          <c:showLegendKey val="0"/>
          <c:showVal val="0"/>
          <c:showCatName val="0"/>
          <c:showSerName val="0"/>
          <c:showPercent val="0"/>
          <c:showBubbleSize val="0"/>
        </c:dLbls>
        <c:smooth val="0"/>
        <c:axId val="2017138880"/>
        <c:axId val="2017139240"/>
      </c:lineChart>
      <c:catAx>
        <c:axId val="201713888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1" i="0" u="none" strike="noStrike" kern="1200" cap="none" spc="0" normalizeH="0" baseline="0">
                <a:solidFill>
                  <a:schemeClr val="tx1"/>
                </a:solidFill>
                <a:latin typeface="+mn-lt"/>
                <a:ea typeface="+mn-ea"/>
                <a:cs typeface="+mn-cs"/>
              </a:defRPr>
            </a:pPr>
            <a:endParaRPr lang="en-US"/>
          </a:p>
        </c:txPr>
        <c:crossAx val="2017139240"/>
        <c:crosses val="autoZero"/>
        <c:auto val="1"/>
        <c:lblAlgn val="ctr"/>
        <c:lblOffset val="100"/>
        <c:noMultiLvlLbl val="0"/>
      </c:catAx>
      <c:valAx>
        <c:axId val="2017139240"/>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sz="1000" baseline="0">
                    <a:solidFill>
                      <a:schemeClr val="tx1"/>
                    </a:solidFill>
                  </a:rPr>
                  <a:t> Volume</a:t>
                </a:r>
                <a:r>
                  <a:rPr lang="en-US" sz="1000">
                    <a:solidFill>
                      <a:schemeClr val="tx1"/>
                    </a:solidFill>
                  </a:rPr>
                  <a:t> (lbs)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17138880"/>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[lifting_tracker_app.xlsm]Max!PivotTable1</c:name>
    <c:fmtId val="8"/>
  </c:pivotSource>
  <c:chart>
    <c:title>
      <c:tx>
        <c:rich>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r>
              <a:rPr lang="en-US">
                <a:solidFill>
                  <a:schemeClr val="tx1"/>
                </a:solidFill>
              </a:rPr>
              <a:t>Peak Strength vs Sets Performed</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tx1"/>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1"/>
          <c:order val="1"/>
          <c:tx>
            <c:strRef>
              <c:f>Max!$C$3</c:f>
              <c:strCache>
                <c:ptCount val="1"/>
                <c:pt idx="0">
                  <c:v># of Sets</c:v>
                </c:pt>
              </c:strCache>
            </c:strRef>
          </c:tx>
          <c:spPr>
            <a:solidFill>
              <a:schemeClr val="tx1"/>
            </a:solidFill>
            <a:ln>
              <a:noFill/>
            </a:ln>
            <a:effectLst/>
          </c:spPr>
          <c:invertIfNegative val="0"/>
          <c:cat>
            <c:strRef>
              <c:f>Max!$A$4:$A$21</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Max!$C$4:$C$21</c:f>
              <c:numCache>
                <c:formatCode>General</c:formatCode>
                <c:ptCount val="18"/>
                <c:pt idx="0">
                  <c:v>3</c:v>
                </c:pt>
                <c:pt idx="1">
                  <c:v>3</c:v>
                </c:pt>
                <c:pt idx="2">
                  <c:v>3</c:v>
                </c:pt>
                <c:pt idx="3">
                  <c:v>3</c:v>
                </c:pt>
                <c:pt idx="4">
                  <c:v>3</c:v>
                </c:pt>
                <c:pt idx="5">
                  <c:v>4</c:v>
                </c:pt>
                <c:pt idx="6">
                  <c:v>4</c:v>
                </c:pt>
                <c:pt idx="7">
                  <c:v>4</c:v>
                </c:pt>
                <c:pt idx="8">
                  <c:v>4</c:v>
                </c:pt>
                <c:pt idx="9">
                  <c:v>4</c:v>
                </c:pt>
                <c:pt idx="10">
                  <c:v>4</c:v>
                </c:pt>
                <c:pt idx="11">
                  <c:v>4</c:v>
                </c:pt>
                <c:pt idx="12">
                  <c:v>4</c:v>
                </c:pt>
                <c:pt idx="13">
                  <c:v>3</c:v>
                </c:pt>
                <c:pt idx="14">
                  <c:v>3</c:v>
                </c:pt>
                <c:pt idx="15">
                  <c:v>3</c:v>
                </c:pt>
                <c:pt idx="16">
                  <c:v>3</c:v>
                </c:pt>
                <c:pt idx="17">
                  <c:v>3</c:v>
                </c:pt>
              </c:numCache>
            </c:numRef>
          </c:val>
          <c:extLst>
            <c:ext xmlns:c16="http://schemas.microsoft.com/office/drawing/2014/chart" uri="{C3380CC4-5D6E-409C-BE32-E72D297353CC}">
              <c16:uniqueId val="{00000001-8780-4868-B304-638C4D877866}"/>
            </c:ext>
          </c:extLst>
        </c:ser>
        <c:dLbls>
          <c:showLegendKey val="0"/>
          <c:showVal val="0"/>
          <c:showCatName val="0"/>
          <c:showSerName val="0"/>
          <c:showPercent val="0"/>
          <c:showBubbleSize val="0"/>
        </c:dLbls>
        <c:gapWidth val="247"/>
        <c:axId val="1211323632"/>
        <c:axId val="1211318952"/>
      </c:barChart>
      <c:lineChart>
        <c:grouping val="standard"/>
        <c:varyColors val="0"/>
        <c:ser>
          <c:idx val="0"/>
          <c:order val="0"/>
          <c:tx>
            <c:strRef>
              <c:f>Max!$B$3</c:f>
              <c:strCache>
                <c:ptCount val="1"/>
                <c:pt idx="0">
                  <c:v>One Rep Max</c:v>
                </c:pt>
              </c:strCache>
            </c:strRef>
          </c:tx>
          <c:spPr>
            <a:ln w="22225" cap="rnd">
              <a:solidFill>
                <a:srgbClr val="C00000"/>
              </a:solidFill>
              <a:round/>
            </a:ln>
            <a:effectLst/>
          </c:spPr>
          <c:marker>
            <c:symbol val="none"/>
          </c:marker>
          <c:cat>
            <c:strRef>
              <c:f>Max!$A$4:$A$21</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Max!$B$4:$B$21</c:f>
              <c:numCache>
                <c:formatCode>General</c:formatCode>
                <c:ptCount val="18"/>
                <c:pt idx="0">
                  <c:v>73.33</c:v>
                </c:pt>
                <c:pt idx="1">
                  <c:v>100</c:v>
                </c:pt>
                <c:pt idx="2">
                  <c:v>105</c:v>
                </c:pt>
                <c:pt idx="3">
                  <c:v>129.83000000000001</c:v>
                </c:pt>
                <c:pt idx="4">
                  <c:v>133</c:v>
                </c:pt>
                <c:pt idx="5">
                  <c:v>126.67</c:v>
                </c:pt>
                <c:pt idx="6">
                  <c:v>140</c:v>
                </c:pt>
                <c:pt idx="7">
                  <c:v>146.66999999999999</c:v>
                </c:pt>
                <c:pt idx="8">
                  <c:v>147</c:v>
                </c:pt>
                <c:pt idx="9">
                  <c:v>133</c:v>
                </c:pt>
                <c:pt idx="10">
                  <c:v>97.5</c:v>
                </c:pt>
                <c:pt idx="11">
                  <c:v>97.5</c:v>
                </c:pt>
                <c:pt idx="12">
                  <c:v>97.5</c:v>
                </c:pt>
                <c:pt idx="13">
                  <c:v>105</c:v>
                </c:pt>
                <c:pt idx="14">
                  <c:v>105</c:v>
                </c:pt>
                <c:pt idx="15">
                  <c:v>112.5</c:v>
                </c:pt>
                <c:pt idx="16">
                  <c:v>120</c:v>
                </c:pt>
                <c:pt idx="17">
                  <c:v>127.5</c:v>
                </c:pt>
              </c:numCache>
            </c:numRef>
          </c:val>
          <c:smooth val="0"/>
          <c:extLst>
            <c:ext xmlns:c16="http://schemas.microsoft.com/office/drawing/2014/chart" uri="{C3380CC4-5D6E-409C-BE32-E72D297353CC}">
              <c16:uniqueId val="{00000000-8780-4868-B304-638C4D877866}"/>
            </c:ext>
          </c:extLst>
        </c:ser>
        <c:dLbls>
          <c:showLegendKey val="0"/>
          <c:showVal val="0"/>
          <c:showCatName val="0"/>
          <c:showSerName val="0"/>
          <c:showPercent val="0"/>
          <c:showBubbleSize val="0"/>
        </c:dLbls>
        <c:marker val="1"/>
        <c:smooth val="0"/>
        <c:axId val="1275316640"/>
        <c:axId val="1275331040"/>
      </c:lineChart>
      <c:valAx>
        <c:axId val="1211318952"/>
        <c:scaling>
          <c:orientation val="minMax"/>
        </c:scaling>
        <c:delete val="0"/>
        <c:axPos val="r"/>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000">
                    <a:solidFill>
                      <a:sysClr val="windowText" lastClr="000000"/>
                    </a:solidFill>
                  </a:rPr>
                  <a:t>Number of Sets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11323632"/>
        <c:crosses val="max"/>
        <c:crossBetween val="between"/>
        <c:majorUnit val="1"/>
      </c:valAx>
      <c:catAx>
        <c:axId val="121132363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1" i="0" u="none" strike="noStrike" kern="1200" cap="none" spc="0" normalizeH="0" baseline="0">
                <a:solidFill>
                  <a:sysClr val="windowText" lastClr="000000"/>
                </a:solidFill>
                <a:latin typeface="+mn-lt"/>
                <a:ea typeface="+mn-ea"/>
                <a:cs typeface="+mn-cs"/>
              </a:defRPr>
            </a:pPr>
            <a:endParaRPr lang="en-US"/>
          </a:p>
        </c:txPr>
        <c:crossAx val="1211318952"/>
        <c:crosses val="autoZero"/>
        <c:auto val="1"/>
        <c:lblAlgn val="ctr"/>
        <c:lblOffset val="100"/>
        <c:noMultiLvlLbl val="0"/>
      </c:catAx>
      <c:valAx>
        <c:axId val="1275331040"/>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000">
                    <a:solidFill>
                      <a:sysClr val="windowText" lastClr="000000"/>
                    </a:solidFill>
                  </a:rPr>
                  <a:t>1-Rep Max (lbs)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75316640"/>
        <c:crosses val="autoZero"/>
        <c:crossBetween val="between"/>
      </c:valAx>
      <c:catAx>
        <c:axId val="1275316640"/>
        <c:scaling>
          <c:orientation val="minMax"/>
        </c:scaling>
        <c:delete val="1"/>
        <c:axPos val="b"/>
        <c:numFmt formatCode="General" sourceLinked="1"/>
        <c:majorTickMark val="out"/>
        <c:minorTickMark val="none"/>
        <c:tickLblPos val="nextTo"/>
        <c:crossAx val="1275331040"/>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[lifting_tracker_app.xlsm]Max!PivotTable2</c:name>
    <c:fmtId val="3"/>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solidFill>
                  <a:sysClr val="windowText" lastClr="000000"/>
                </a:solidFill>
              </a:rPr>
              <a:t>Peak Strength</a:t>
            </a:r>
            <a:r>
              <a:rPr lang="en-US" baseline="0">
                <a:solidFill>
                  <a:sysClr val="windowText" lastClr="000000"/>
                </a:solidFill>
              </a:rPr>
              <a:t> vs Reps Performed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circle"/>
          <c:size val="6"/>
          <c:spPr>
            <a:solidFill>
              <a:schemeClr val="tx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Max!$F$27</c:f>
              <c:strCache>
                <c:ptCount val="1"/>
                <c:pt idx="0">
                  <c:v>Average of Reps</c:v>
                </c:pt>
              </c:strCache>
            </c:strRef>
          </c:tx>
          <c:spPr>
            <a:solidFill>
              <a:schemeClr val="tx1"/>
            </a:solidFill>
            <a:ln>
              <a:noFill/>
            </a:ln>
            <a:effectLst/>
          </c:spPr>
          <c:invertIfNegative val="0"/>
          <c:cat>
            <c:strRef>
              <c:f>Max!$D$28:$D$46</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Max!$F$28:$F$46</c:f>
              <c:numCache>
                <c:formatCode>General</c:formatCode>
                <c:ptCount val="18"/>
                <c:pt idx="0">
                  <c:v>10</c:v>
                </c:pt>
                <c:pt idx="1">
                  <c:v>10</c:v>
                </c:pt>
                <c:pt idx="2">
                  <c:v>11.333333333333334</c:v>
                </c:pt>
                <c:pt idx="3">
                  <c:v>11.666666666666666</c:v>
                </c:pt>
                <c:pt idx="4">
                  <c:v>13.333333333333334</c:v>
                </c:pt>
                <c:pt idx="5">
                  <c:v>11</c:v>
                </c:pt>
                <c:pt idx="6">
                  <c:v>11.25</c:v>
                </c:pt>
                <c:pt idx="7">
                  <c:v>10</c:v>
                </c:pt>
                <c:pt idx="8">
                  <c:v>11.5</c:v>
                </c:pt>
                <c:pt idx="9">
                  <c:v>12</c:v>
                </c:pt>
                <c:pt idx="10">
                  <c:v>15</c:v>
                </c:pt>
                <c:pt idx="11">
                  <c:v>15</c:v>
                </c:pt>
                <c:pt idx="12">
                  <c:v>15</c:v>
                </c:pt>
                <c:pt idx="13">
                  <c:v>15</c:v>
                </c:pt>
                <c:pt idx="14">
                  <c:v>15</c:v>
                </c:pt>
                <c:pt idx="15">
                  <c:v>15</c:v>
                </c:pt>
                <c:pt idx="16">
                  <c:v>15</c:v>
                </c:pt>
                <c:pt idx="17">
                  <c:v>14.666666666666666</c:v>
                </c:pt>
              </c:numCache>
            </c:numRef>
          </c:val>
          <c:extLst>
            <c:ext xmlns:c16="http://schemas.microsoft.com/office/drawing/2014/chart" uri="{C3380CC4-5D6E-409C-BE32-E72D297353CC}">
              <c16:uniqueId val="{00000000-32BE-45F6-B92C-E5E20436F86C}"/>
            </c:ext>
          </c:extLst>
        </c:ser>
        <c:dLbls>
          <c:showLegendKey val="0"/>
          <c:showVal val="0"/>
          <c:showCatName val="0"/>
          <c:showSerName val="0"/>
          <c:showPercent val="0"/>
          <c:showBubbleSize val="0"/>
        </c:dLbls>
        <c:gapWidth val="150"/>
        <c:axId val="1188938256"/>
        <c:axId val="1188932136"/>
      </c:barChart>
      <c:lineChart>
        <c:grouping val="standard"/>
        <c:varyColors val="0"/>
        <c:ser>
          <c:idx val="0"/>
          <c:order val="0"/>
          <c:tx>
            <c:strRef>
              <c:f>Max!$E$27</c:f>
              <c:strCache>
                <c:ptCount val="1"/>
                <c:pt idx="0">
                  <c:v>One Rep Max</c:v>
                </c:pt>
              </c:strCache>
            </c:strRef>
          </c:tx>
          <c:spPr>
            <a:ln w="22225" cap="rnd">
              <a:solidFill>
                <a:srgbClr val="C00000"/>
              </a:solidFill>
              <a:round/>
            </a:ln>
            <a:effectLst/>
          </c:spPr>
          <c:marker>
            <c:symbol val="none"/>
          </c:marker>
          <c:cat>
            <c:strRef>
              <c:f>Max!$D$28:$D$46</c:f>
              <c:strCache>
                <c:ptCount val="18"/>
                <c:pt idx="0">
                  <c:v>9/13/2023</c:v>
                </c:pt>
                <c:pt idx="1">
                  <c:v>9/19/2023</c:v>
                </c:pt>
                <c:pt idx="2">
                  <c:v>9/22/2023</c:v>
                </c:pt>
                <c:pt idx="3">
                  <c:v>9/26/2023</c:v>
                </c:pt>
                <c:pt idx="4">
                  <c:v>9/29/2023</c:v>
                </c:pt>
                <c:pt idx="5">
                  <c:v>10/3/2023</c:v>
                </c:pt>
                <c:pt idx="6">
                  <c:v>10/6/2023</c:v>
                </c:pt>
                <c:pt idx="7">
                  <c:v>10/11/2023</c:v>
                </c:pt>
                <c:pt idx="8">
                  <c:v>10/24/2023</c:v>
                </c:pt>
                <c:pt idx="9">
                  <c:v>11/16/2023</c:v>
                </c:pt>
                <c:pt idx="10">
                  <c:v>11/26/2023</c:v>
                </c:pt>
                <c:pt idx="11">
                  <c:v>12/5/2023</c:v>
                </c:pt>
                <c:pt idx="12">
                  <c:v>12/10/2023</c:v>
                </c:pt>
                <c:pt idx="13">
                  <c:v>12/14/2023</c:v>
                </c:pt>
                <c:pt idx="14">
                  <c:v>12/18/2023</c:v>
                </c:pt>
                <c:pt idx="15">
                  <c:v>12/22/2023</c:v>
                </c:pt>
                <c:pt idx="16">
                  <c:v>12/26/2023</c:v>
                </c:pt>
                <c:pt idx="17">
                  <c:v>12/30/2023</c:v>
                </c:pt>
              </c:strCache>
            </c:strRef>
          </c:cat>
          <c:val>
            <c:numRef>
              <c:f>Max!$E$28:$E$46</c:f>
              <c:numCache>
                <c:formatCode>General</c:formatCode>
                <c:ptCount val="18"/>
                <c:pt idx="0">
                  <c:v>73.33</c:v>
                </c:pt>
                <c:pt idx="1">
                  <c:v>100</c:v>
                </c:pt>
                <c:pt idx="2">
                  <c:v>105</c:v>
                </c:pt>
                <c:pt idx="3">
                  <c:v>129.83000000000001</c:v>
                </c:pt>
                <c:pt idx="4">
                  <c:v>133</c:v>
                </c:pt>
                <c:pt idx="5">
                  <c:v>126.67</c:v>
                </c:pt>
                <c:pt idx="6">
                  <c:v>140</c:v>
                </c:pt>
                <c:pt idx="7">
                  <c:v>146.66999999999999</c:v>
                </c:pt>
                <c:pt idx="8">
                  <c:v>147</c:v>
                </c:pt>
                <c:pt idx="9">
                  <c:v>133</c:v>
                </c:pt>
                <c:pt idx="10">
                  <c:v>97.5</c:v>
                </c:pt>
                <c:pt idx="11">
                  <c:v>97.5</c:v>
                </c:pt>
                <c:pt idx="12">
                  <c:v>97.5</c:v>
                </c:pt>
                <c:pt idx="13">
                  <c:v>105</c:v>
                </c:pt>
                <c:pt idx="14">
                  <c:v>105</c:v>
                </c:pt>
                <c:pt idx="15">
                  <c:v>112.5</c:v>
                </c:pt>
                <c:pt idx="16">
                  <c:v>120</c:v>
                </c:pt>
                <c:pt idx="17">
                  <c:v>127.5</c:v>
                </c:pt>
              </c:numCache>
            </c:numRef>
          </c:val>
          <c:smooth val="0"/>
          <c:extLst>
            <c:ext xmlns:c16="http://schemas.microsoft.com/office/drawing/2014/chart" uri="{C3380CC4-5D6E-409C-BE32-E72D297353CC}">
              <c16:uniqueId val="{00000001-32BE-45F6-B92C-E5E20436F86C}"/>
            </c:ext>
          </c:extLst>
        </c:ser>
        <c:dLbls>
          <c:showLegendKey val="0"/>
          <c:showVal val="0"/>
          <c:showCatName val="0"/>
          <c:showSerName val="0"/>
          <c:showPercent val="0"/>
          <c:showBubbleSize val="0"/>
        </c:dLbls>
        <c:marker val="1"/>
        <c:smooth val="0"/>
        <c:axId val="1188931416"/>
        <c:axId val="1188933576"/>
      </c:lineChart>
      <c:catAx>
        <c:axId val="118893141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1" i="0" u="none" strike="noStrike" kern="1200" cap="none" spc="0" normalizeH="0" baseline="0">
                <a:solidFill>
                  <a:sysClr val="windowText" lastClr="000000"/>
                </a:solidFill>
                <a:latin typeface="+mn-lt"/>
                <a:ea typeface="+mn-ea"/>
                <a:cs typeface="+mn-cs"/>
              </a:defRPr>
            </a:pPr>
            <a:endParaRPr lang="en-US"/>
          </a:p>
        </c:txPr>
        <c:crossAx val="1188933576"/>
        <c:crosses val="autoZero"/>
        <c:auto val="1"/>
        <c:lblAlgn val="ctr"/>
        <c:lblOffset val="100"/>
        <c:noMultiLvlLbl val="0"/>
      </c:catAx>
      <c:valAx>
        <c:axId val="1188933576"/>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sz="1000">
                    <a:solidFill>
                      <a:sysClr val="windowText" lastClr="000000"/>
                    </a:solidFill>
                  </a:rPr>
                  <a:t>1-Rep Max (lbs)</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8931416"/>
        <c:crosses val="autoZero"/>
        <c:crossBetween val="between"/>
      </c:valAx>
      <c:valAx>
        <c:axId val="1188932136"/>
        <c:scaling>
          <c:orientation val="minMax"/>
        </c:scaling>
        <c:delete val="0"/>
        <c:axPos val="r"/>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sz="900" b="1" i="0" u="none" strike="noStrike" kern="1200" baseline="0">
                    <a:solidFill>
                      <a:sysClr val="windowText" lastClr="000000"/>
                    </a:solidFill>
                  </a:rPr>
                  <a:t>Number of Reps</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8938256"/>
        <c:crosses val="max"/>
        <c:crossBetween val="between"/>
      </c:valAx>
      <c:catAx>
        <c:axId val="1188938256"/>
        <c:scaling>
          <c:orientation val="minMax"/>
        </c:scaling>
        <c:delete val="1"/>
        <c:axPos val="b"/>
        <c:numFmt formatCode="General" sourceLinked="1"/>
        <c:majorTickMark val="out"/>
        <c:minorTickMark val="none"/>
        <c:tickLblPos val="nextTo"/>
        <c:crossAx val="1188932136"/>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[lifting_tracker_app.xlsm]Volumes!Vol_exercises</c:name>
    <c:fmtId val="18"/>
  </c:pivotSource>
  <c:chart>
    <c:title>
      <c:tx>
        <c:strRef>
          <c:f>'Interactive Actions'!$M$7</c:f>
          <c:strCache>
            <c:ptCount val="1"/>
            <c:pt idx="0">
              <c:v>Volume for Flat Bench Press</c:v>
            </c:pt>
          </c:strCache>
        </c:strRef>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j-lt"/>
              <a:ea typeface="+mj-ea"/>
              <a:cs typeface="+mj-cs"/>
            </a:defRPr>
          </a:pPr>
          <a:endParaRPr lang="en-US"/>
        </a:p>
      </c:txPr>
    </c:title>
    <c:autoTitleDeleted val="0"/>
    <c:pivotFmts>
      <c:pivotFmt>
        <c:idx val="0"/>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512218506933213E-2"/>
          <c:y val="0.14547038049633285"/>
          <c:w val="0.90848776902887141"/>
          <c:h val="0.58446791214394"/>
        </c:manualLayout>
      </c:layout>
      <c:areaChart>
        <c:grouping val="standard"/>
        <c:varyColors val="0"/>
        <c:ser>
          <c:idx val="0"/>
          <c:order val="0"/>
          <c:tx>
            <c:strRef>
              <c:f>'Interactive Actions'!$M$7</c:f>
              <c:strCache>
                <c:ptCount val="1"/>
                <c:pt idx="0">
                  <c:v>Total</c:v>
                </c:pt>
              </c:strCache>
            </c:strRef>
          </c:tx>
          <c:spPr>
            <a:solidFill>
              <a:schemeClr val="tx1"/>
            </a:solidFill>
            <a:ln>
              <a:solidFill>
                <a:srgbClr val="C00000"/>
              </a:solidFill>
            </a:ln>
            <a:effectLst/>
          </c:spPr>
          <c:cat>
            <c:strRef>
              <c:f>'Interactive Actions'!$M$7</c:f>
              <c:strCache>
                <c:ptCount val="25"/>
                <c:pt idx="0">
                  <c:v>9/15/2023</c:v>
                </c:pt>
                <c:pt idx="1">
                  <c:v>9/18/2023</c:v>
                </c:pt>
                <c:pt idx="2">
                  <c:v>9/21/2023</c:v>
                </c:pt>
                <c:pt idx="3">
                  <c:v>9/25/2023</c:v>
                </c:pt>
                <c:pt idx="4">
                  <c:v>9/28/2023</c:v>
                </c:pt>
                <c:pt idx="5">
                  <c:v>10/2/2023</c:v>
                </c:pt>
                <c:pt idx="6">
                  <c:v>10/5/2023</c:v>
                </c:pt>
                <c:pt idx="7">
                  <c:v>10/10/2023</c:v>
                </c:pt>
                <c:pt idx="8">
                  <c:v>10/19/2023</c:v>
                </c:pt>
                <c:pt idx="9">
                  <c:v>10/23/2023</c:v>
                </c:pt>
                <c:pt idx="10">
                  <c:v>10/26/2023</c:v>
                </c:pt>
                <c:pt idx="11">
                  <c:v>10/30/2023</c:v>
                </c:pt>
                <c:pt idx="12">
                  <c:v>11/8/2023</c:v>
                </c:pt>
                <c:pt idx="13">
                  <c:v>11/13/2023</c:v>
                </c:pt>
                <c:pt idx="14">
                  <c:v>11/20/2023</c:v>
                </c:pt>
                <c:pt idx="15">
                  <c:v>11/24/2023</c:v>
                </c:pt>
                <c:pt idx="16">
                  <c:v>11/27/2023</c:v>
                </c:pt>
                <c:pt idx="17">
                  <c:v>12/6/2023</c:v>
                </c:pt>
                <c:pt idx="18">
                  <c:v>12/9/2023</c:v>
                </c:pt>
                <c:pt idx="19">
                  <c:v>12/13/2023</c:v>
                </c:pt>
                <c:pt idx="20">
                  <c:v>12/17/2023</c:v>
                </c:pt>
                <c:pt idx="21">
                  <c:v>12/21/2023</c:v>
                </c:pt>
                <c:pt idx="22">
                  <c:v>12/25/2023</c:v>
                </c:pt>
                <c:pt idx="23">
                  <c:v>12/29/2023</c:v>
                </c:pt>
                <c:pt idx="24">
                  <c:v>1/2/2024</c:v>
                </c:pt>
              </c:strCache>
            </c:strRef>
          </c:cat>
          <c:val>
            <c:numRef>
              <c:f>'Interactive Actions'!$M$7</c:f>
              <c:numCache>
                <c:formatCode>General</c:formatCode>
                <c:ptCount val="25"/>
                <c:pt idx="0">
                  <c:v>3480</c:v>
                </c:pt>
                <c:pt idx="1">
                  <c:v>3270</c:v>
                </c:pt>
                <c:pt idx="2">
                  <c:v>3385</c:v>
                </c:pt>
                <c:pt idx="3">
                  <c:v>3640</c:v>
                </c:pt>
                <c:pt idx="4">
                  <c:v>4490</c:v>
                </c:pt>
                <c:pt idx="5">
                  <c:v>2740</c:v>
                </c:pt>
                <c:pt idx="6">
                  <c:v>2560</c:v>
                </c:pt>
                <c:pt idx="7">
                  <c:v>4140</c:v>
                </c:pt>
                <c:pt idx="8">
                  <c:v>5710</c:v>
                </c:pt>
                <c:pt idx="9">
                  <c:v>5600</c:v>
                </c:pt>
                <c:pt idx="10">
                  <c:v>6450</c:v>
                </c:pt>
                <c:pt idx="11">
                  <c:v>2625</c:v>
                </c:pt>
                <c:pt idx="12">
                  <c:v>1885</c:v>
                </c:pt>
                <c:pt idx="13">
                  <c:v>2375</c:v>
                </c:pt>
                <c:pt idx="14">
                  <c:v>3880</c:v>
                </c:pt>
                <c:pt idx="15">
                  <c:v>5540</c:v>
                </c:pt>
                <c:pt idx="16">
                  <c:v>5555</c:v>
                </c:pt>
                <c:pt idx="17">
                  <c:v>5825</c:v>
                </c:pt>
                <c:pt idx="18">
                  <c:v>5665</c:v>
                </c:pt>
                <c:pt idx="19">
                  <c:v>4370</c:v>
                </c:pt>
                <c:pt idx="20">
                  <c:v>4560</c:v>
                </c:pt>
                <c:pt idx="21">
                  <c:v>4260</c:v>
                </c:pt>
                <c:pt idx="22">
                  <c:v>4265</c:v>
                </c:pt>
                <c:pt idx="23">
                  <c:v>4640</c:v>
                </c:pt>
                <c:pt idx="24">
                  <c:v>3285</c:v>
                </c:pt>
              </c:numCache>
            </c:numRef>
          </c:val>
          <c:extLst>
            <c:ext xmlns:c16="http://schemas.microsoft.com/office/drawing/2014/chart" uri="{C3380CC4-5D6E-409C-BE32-E72D297353CC}">
              <c16:uniqueId val="{00000000-C4F4-4555-ADDA-2442DF4DE601}"/>
            </c:ext>
          </c:extLst>
        </c:ser>
        <c:dLbls>
          <c:showLegendKey val="0"/>
          <c:showVal val="0"/>
          <c:showCatName val="0"/>
          <c:showSerName val="0"/>
          <c:showPercent val="0"/>
          <c:showBubbleSize val="0"/>
        </c:dLbls>
        <c:axId val="541902040"/>
        <c:axId val="541898080"/>
      </c:areaChart>
      <c:catAx>
        <c:axId val="54190204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m/d/yyyy" sourceLinked="0"/>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1" i="0" u="none" strike="noStrike" kern="1200" cap="none" spc="0" normalizeH="0" baseline="0">
                <a:solidFill>
                  <a:schemeClr val="tx1"/>
                </a:solidFill>
                <a:latin typeface="+mn-lt"/>
                <a:ea typeface="+mn-ea"/>
                <a:cs typeface="+mn-cs"/>
              </a:defRPr>
            </a:pPr>
            <a:endParaRPr lang="en-US"/>
          </a:p>
        </c:txPr>
        <c:crossAx val="541898080"/>
        <c:crosses val="autoZero"/>
        <c:auto val="1"/>
        <c:lblAlgn val="ctr"/>
        <c:lblOffset val="100"/>
        <c:noMultiLvlLbl val="0"/>
      </c:catAx>
      <c:valAx>
        <c:axId val="541898080"/>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000">
                    <a:solidFill>
                      <a:schemeClr val="tx1"/>
                    </a:solidFill>
                  </a:rPr>
                  <a:t>Volume</a:t>
                </a:r>
                <a:r>
                  <a:rPr lang="en-US" baseline="0"/>
                  <a:t> (lbs)</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41902040"/>
        <c:crosses val="autoZero"/>
        <c:crossBetween val="midCat"/>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9.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https://play.google.com/store/apps/details?id=zev.bodybuilding_log&amp;hl=en_US&amp;gl=US&amp;pli=1" TargetMode="External"/><Relationship Id="rId7" Type="http://schemas.openxmlformats.org/officeDocument/2006/relationships/image" Target="../media/image10.svg"/><Relationship Id="rId2" Type="http://schemas.openxmlformats.org/officeDocument/2006/relationships/chart" Target="../charts/chart6.xml"/><Relationship Id="rId1" Type="http://schemas.openxmlformats.org/officeDocument/2006/relationships/image" Target="../media/image7.emf"/><Relationship Id="rId6" Type="http://schemas.openxmlformats.org/officeDocument/2006/relationships/image" Target="../media/image9.png"/><Relationship Id="rId5" Type="http://schemas.openxmlformats.org/officeDocument/2006/relationships/hyperlink" Target="#Dashboard!B11"/><Relationship Id="rId10" Type="http://schemas.openxmlformats.org/officeDocument/2006/relationships/chart" Target="../charts/chart9.xml"/><Relationship Id="rId4" Type="http://schemas.openxmlformats.org/officeDocument/2006/relationships/image" Target="../media/image8.jpeg"/><Relationship Id="rId9"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15</xdr:col>
      <xdr:colOff>381000</xdr:colOff>
      <xdr:row>0</xdr:row>
      <xdr:rowOff>142876</xdr:rowOff>
    </xdr:from>
    <xdr:to>
      <xdr:col>17</xdr:col>
      <xdr:colOff>66675</xdr:colOff>
      <xdr:row>17</xdr:row>
      <xdr:rowOff>123826</xdr:rowOff>
    </xdr:to>
    <mc:AlternateContent xmlns:mc="http://schemas.openxmlformats.org/markup-compatibility/2006" xmlns:a14="http://schemas.microsoft.com/office/drawing/2010/main">
      <mc:Choice Requires="a14">
        <xdr:graphicFrame macro="">
          <xdr:nvGraphicFramePr>
            <xdr:cNvPr id="9" name="Exercise 2">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Exercise 2"/>
            </a:graphicData>
          </a:graphic>
        </xdr:graphicFrame>
      </mc:Choice>
      <mc:Fallback xmlns="">
        <xdr:sp macro="" textlink="">
          <xdr:nvSpPr>
            <xdr:cNvPr id="0" name=""/>
            <xdr:cNvSpPr>
              <a:spLocks noTextEdit="1"/>
            </xdr:cNvSpPr>
          </xdr:nvSpPr>
          <xdr:spPr>
            <a:xfrm>
              <a:off x="10220325" y="142876"/>
              <a:ext cx="1828800" cy="3219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22</xdr:row>
      <xdr:rowOff>57150</xdr:rowOff>
    </xdr:from>
    <xdr:to>
      <xdr:col>22</xdr:col>
      <xdr:colOff>285750</xdr:colOff>
      <xdr:row>35</xdr:row>
      <xdr:rowOff>104775</xdr:rowOff>
    </xdr:to>
    <mc:AlternateContent xmlns:mc="http://schemas.openxmlformats.org/markup-compatibility/2006" xmlns:a14="http://schemas.microsoft.com/office/drawing/2010/main">
      <mc:Choice Requires="a14">
        <xdr:graphicFrame macro="">
          <xdr:nvGraphicFramePr>
            <xdr:cNvPr id="12" name="Routine">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Routine"/>
            </a:graphicData>
          </a:graphic>
        </xdr:graphicFrame>
      </mc:Choice>
      <mc:Fallback xmlns="">
        <xdr:sp macro="" textlink="">
          <xdr:nvSpPr>
            <xdr:cNvPr id="0" name=""/>
            <xdr:cNvSpPr>
              <a:spLocks noTextEdit="1"/>
            </xdr:cNvSpPr>
          </xdr:nvSpPr>
          <xdr:spPr>
            <a:xfrm>
              <a:off x="11515725" y="4248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209550</xdr:colOff>
      <xdr:row>38</xdr:row>
      <xdr:rowOff>57150</xdr:rowOff>
    </xdr:from>
    <xdr:to>
      <xdr:col>24</xdr:col>
      <xdr:colOff>485775</xdr:colOff>
      <xdr:row>52</xdr:row>
      <xdr:rowOff>133350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38100</xdr:colOff>
      <xdr:row>56</xdr:row>
      <xdr:rowOff>19050</xdr:rowOff>
    </xdr:from>
    <xdr:to>
      <xdr:col>22</xdr:col>
      <xdr:colOff>323850</xdr:colOff>
      <xdr:row>66</xdr:row>
      <xdr:rowOff>85724</xdr:rowOff>
    </xdr:to>
    <mc:AlternateContent xmlns:mc="http://schemas.openxmlformats.org/markup-compatibility/2006" xmlns:a14="http://schemas.microsoft.com/office/drawing/2010/main">
      <mc:Choice Requires="a14">
        <xdr:graphicFrame macro="">
          <xdr:nvGraphicFramePr>
            <xdr:cNvPr id="3" name="Exercise 7">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Exercise 7"/>
            </a:graphicData>
          </a:graphic>
        </xdr:graphicFrame>
      </mc:Choice>
      <mc:Fallback xmlns="">
        <xdr:sp macro="" textlink="">
          <xdr:nvSpPr>
            <xdr:cNvPr id="0" name=""/>
            <xdr:cNvSpPr>
              <a:spLocks noTextEdit="1"/>
            </xdr:cNvSpPr>
          </xdr:nvSpPr>
          <xdr:spPr>
            <a:xfrm>
              <a:off x="13916025" y="10687050"/>
              <a:ext cx="1828800" cy="1971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781050</xdr:colOff>
      <xdr:row>0</xdr:row>
      <xdr:rowOff>123825</xdr:rowOff>
    </xdr:from>
    <xdr:to>
      <xdr:col>15</xdr:col>
      <xdr:colOff>161925</xdr:colOff>
      <xdr:row>18</xdr:row>
      <xdr:rowOff>142874</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20</xdr:row>
      <xdr:rowOff>0</xdr:rowOff>
    </xdr:from>
    <xdr:to>
      <xdr:col>17</xdr:col>
      <xdr:colOff>647699</xdr:colOff>
      <xdr:row>38</xdr:row>
      <xdr:rowOff>19049</xdr:rowOff>
    </xdr:to>
    <xdr:graphicFrame macro="">
      <xdr:nvGraphicFramePr>
        <xdr:cNvPr id="6" name="Chart 1">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0</xdr:row>
      <xdr:rowOff>114299</xdr:rowOff>
    </xdr:from>
    <xdr:to>
      <xdr:col>10</xdr:col>
      <xdr:colOff>723900</xdr:colOff>
      <xdr:row>12</xdr:row>
      <xdr:rowOff>19050</xdr:rowOff>
    </xdr:to>
    <mc:AlternateContent xmlns:mc="http://schemas.openxmlformats.org/markup-compatibility/2006" xmlns:a14="http://schemas.microsoft.com/office/drawing/2010/main">
      <mc:Choice Requires="a14">
        <xdr:graphicFrame macro="">
          <xdr:nvGraphicFramePr>
            <xdr:cNvPr id="2" name="Exercise 4">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Exercise 4"/>
            </a:graphicData>
          </a:graphic>
        </xdr:graphicFrame>
      </mc:Choice>
      <mc:Fallback xmlns="">
        <xdr:sp macro="" textlink="">
          <xdr:nvSpPr>
            <xdr:cNvPr id="0" name=""/>
            <xdr:cNvSpPr>
              <a:spLocks noTextEdit="1"/>
            </xdr:cNvSpPr>
          </xdr:nvSpPr>
          <xdr:spPr>
            <a:xfrm>
              <a:off x="9448800" y="114299"/>
              <a:ext cx="1828800" cy="21907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276225</xdr:colOff>
      <xdr:row>0</xdr:row>
      <xdr:rowOff>109538</xdr:rowOff>
    </xdr:from>
    <xdr:to>
      <xdr:col>8</xdr:col>
      <xdr:colOff>809625</xdr:colOff>
      <xdr:row>17</xdr:row>
      <xdr:rowOff>133351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180974</xdr:colOff>
      <xdr:row>23</xdr:row>
      <xdr:rowOff>138112</xdr:rowOff>
    </xdr:from>
    <xdr:to>
      <xdr:col>12</xdr:col>
      <xdr:colOff>428624</xdr:colOff>
      <xdr:row>42</xdr:row>
      <xdr:rowOff>171450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523875</xdr:colOff>
      <xdr:row>23</xdr:row>
      <xdr:rowOff>66675</xdr:rowOff>
    </xdr:from>
    <xdr:to>
      <xdr:col>13</xdr:col>
      <xdr:colOff>971550</xdr:colOff>
      <xdr:row>36</xdr:row>
      <xdr:rowOff>114300</xdr:rowOff>
    </xdr:to>
    <mc:AlternateContent xmlns:mc="http://schemas.openxmlformats.org/markup-compatibility/2006" xmlns:a14="http://schemas.microsoft.com/office/drawing/2010/main">
      <mc:Choice Requires="a14">
        <xdr:graphicFrame macro="">
          <xdr:nvGraphicFramePr>
            <xdr:cNvPr id="10" name="Exercise">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Exercise"/>
            </a:graphicData>
          </a:graphic>
        </xdr:graphicFrame>
      </mc:Choice>
      <mc:Fallback xmlns="">
        <xdr:sp macro="" textlink="">
          <xdr:nvSpPr>
            <xdr:cNvPr id="0" name=""/>
            <xdr:cNvSpPr>
              <a:spLocks noTextEdit="1"/>
            </xdr:cNvSpPr>
          </xdr:nvSpPr>
          <xdr:spPr>
            <a:xfrm>
              <a:off x="12087225" y="4438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495300</xdr:colOff>
          <xdr:row>11</xdr:row>
          <xdr:rowOff>47624</xdr:rowOff>
        </xdr:from>
        <xdr:to>
          <xdr:col>6</xdr:col>
          <xdr:colOff>285750</xdr:colOff>
          <xdr:row>21</xdr:row>
          <xdr:rowOff>95249</xdr:rowOff>
        </xdr:to>
        <xdr:pic>
          <xdr:nvPicPr>
            <xdr:cNvPr id="3" name="Picture 10">
              <a:extLst>
                <a:ext uri="{FF2B5EF4-FFF2-40B4-BE49-F238E27FC236}">
                  <a16:creationId xmlns:a16="http://schemas.microsoft.com/office/drawing/2014/main" id="{00000000-0008-0000-0300-000003000000}"/>
                </a:ext>
              </a:extLst>
            </xdr:cNvPr>
            <xdr:cNvPicPr preferRelativeResize="0">
              <a:picLocks noChangeArrowheads="1"/>
              <a:extLst>
                <a:ext uri="{84589F7E-364E-4C9E-8A38-B11213B215E9}">
                  <a14:cameraTool cellRange="'Interactive Actions'!$G$13:$G$14" spid="_x0000_s4412"/>
                </a:ext>
              </a:extLst>
            </xdr:cNvPicPr>
          </xdr:nvPicPr>
          <xdr:blipFill rotWithShape="1">
            <a:blip xmlns:r="http://schemas.openxmlformats.org/officeDocument/2006/relationships" r:embed="rId1"/>
            <a:srcRect l="5182" t="16985" r="6736" b="1071"/>
            <a:stretch>
              <a:fillRect/>
            </a:stretch>
          </xdr:blipFill>
          <xdr:spPr bwMode="auto">
            <a:xfrm>
              <a:off x="2409825" y="2390774"/>
              <a:ext cx="1943100" cy="1952625"/>
            </a:xfrm>
            <a:prstGeom prst="rect">
              <a:avLst/>
            </a:prstGeom>
            <a:solidFill>
              <a:srgbClr val="FFFFFF" mc:Ignorable="a14" a14:legacySpreadsheetColorIndex="9"/>
            </a:solidFill>
          </xdr:spPr>
        </xdr:pic>
        <xdr:clientData/>
      </xdr:twoCellAnchor>
    </mc:Choice>
    <mc:Fallback/>
  </mc:AlternateContent>
  <xdr:twoCellAnchor>
    <xdr:from>
      <xdr:col>17</xdr:col>
      <xdr:colOff>152400</xdr:colOff>
      <xdr:row>31</xdr:row>
      <xdr:rowOff>19051</xdr:rowOff>
    </xdr:from>
    <xdr:to>
      <xdr:col>27</xdr:col>
      <xdr:colOff>600074</xdr:colOff>
      <xdr:row>49</xdr:row>
      <xdr:rowOff>0</xdr:rowOff>
    </xdr:to>
    <xdr:graphicFrame macro="">
      <xdr:nvGraphicFramePr>
        <xdr:cNvPr id="21" name="Chart 1">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22</xdr:col>
          <xdr:colOff>247650</xdr:colOff>
          <xdr:row>6</xdr:row>
          <xdr:rowOff>228600</xdr:rowOff>
        </xdr:from>
        <xdr:to>
          <xdr:col>26</xdr:col>
          <xdr:colOff>352425</xdr:colOff>
          <xdr:row>8</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Refresh All Charts</a:t>
              </a:r>
            </a:p>
          </xdr:txBody>
        </xdr:sp>
        <xdr:clientData fPrintsWithSheet="0"/>
      </xdr:twoCellAnchor>
    </mc:Choice>
    <mc:Fallback/>
  </mc:AlternateContent>
  <xdr:twoCellAnchor editAs="oneCell">
    <xdr:from>
      <xdr:col>2</xdr:col>
      <xdr:colOff>429684</xdr:colOff>
      <xdr:row>0</xdr:row>
      <xdr:rowOff>0</xdr:rowOff>
    </xdr:from>
    <xdr:to>
      <xdr:col>3</xdr:col>
      <xdr:colOff>624652</xdr:colOff>
      <xdr:row>4</xdr:row>
      <xdr:rowOff>0</xdr:rowOff>
    </xdr:to>
    <xdr:pic>
      <xdr:nvPicPr>
        <xdr:cNvPr id="17" name="Picture 16">
          <a:hlinkClick xmlns:r="http://schemas.openxmlformats.org/officeDocument/2006/relationships" r:id="rId3" tooltip="Data exported from &quot;Bodybuilding Workout Log&quot; Mobile App. Click on this icon to go to app"/>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48884" y="0"/>
          <a:ext cx="804568"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691093</xdr:colOff>
      <xdr:row>30</xdr:row>
      <xdr:rowOff>40218</xdr:rowOff>
    </xdr:from>
    <xdr:to>
      <xdr:col>5</xdr:col>
      <xdr:colOff>142875</xdr:colOff>
      <xdr:row>30</xdr:row>
      <xdr:rowOff>276225</xdr:rowOff>
    </xdr:to>
    <xdr:pic>
      <xdr:nvPicPr>
        <xdr:cNvPr id="18" name="Graphic 17" descr="Information with solid fill">
          <a:hlinkClick xmlns:r="http://schemas.openxmlformats.org/officeDocument/2006/relationships" r:id="rId5" tooltip="    Work is defined by the volume of weight lifted, calculated by weight x reps x sets for each exercise or routine"/>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281893" y="7345893"/>
          <a:ext cx="232832" cy="236007"/>
        </a:xfrm>
        <a:prstGeom prst="rect">
          <a:avLst/>
        </a:prstGeom>
      </xdr:spPr>
    </xdr:pic>
    <xdr:clientData/>
  </xdr:twoCellAnchor>
  <xdr:twoCellAnchor editAs="oneCell">
    <xdr:from>
      <xdr:col>4</xdr:col>
      <xdr:colOff>776818</xdr:colOff>
      <xdr:row>10</xdr:row>
      <xdr:rowOff>47625</xdr:rowOff>
    </xdr:from>
    <xdr:to>
      <xdr:col>5</xdr:col>
      <xdr:colOff>228600</xdr:colOff>
      <xdr:row>10</xdr:row>
      <xdr:rowOff>283632</xdr:rowOff>
    </xdr:to>
    <xdr:pic>
      <xdr:nvPicPr>
        <xdr:cNvPr id="19" name="Graphic 18" descr="Information with solid fill">
          <a:hlinkClick xmlns:r="http://schemas.openxmlformats.org/officeDocument/2006/relationships" r:id="rId5" tooltip="     Strength is characterized by the maximum weight lifted for 1 repetition for each of the core compound exercises. The 1 rep max is calculated using the Epley formula."/>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367618" y="2457450"/>
          <a:ext cx="232832" cy="236007"/>
        </a:xfrm>
        <a:prstGeom prst="rect">
          <a:avLst/>
        </a:prstGeom>
      </xdr:spPr>
    </xdr:pic>
    <xdr:clientData/>
  </xdr:twoCellAnchor>
  <xdr:twoCellAnchor>
    <xdr:from>
      <xdr:col>6</xdr:col>
      <xdr:colOff>247650</xdr:colOff>
      <xdr:row>11</xdr:row>
      <xdr:rowOff>19051</xdr:rowOff>
    </xdr:from>
    <xdr:to>
      <xdr:col>17</xdr:col>
      <xdr:colOff>114300</xdr:colOff>
      <xdr:row>29</xdr:row>
      <xdr:rowOff>181029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0</xdr:colOff>
      <xdr:row>11</xdr:row>
      <xdr:rowOff>28576</xdr:rowOff>
    </xdr:from>
    <xdr:to>
      <xdr:col>3</xdr:col>
      <xdr:colOff>523875</xdr:colOff>
      <xdr:row>21</xdr:row>
      <xdr:rowOff>95250</xdr:rowOff>
    </xdr:to>
    <mc:AlternateContent xmlns:mc="http://schemas.openxmlformats.org/markup-compatibility/2006" xmlns:a14="http://schemas.microsoft.com/office/drawing/2010/main">
      <mc:Choice Requires="a14">
        <xdr:graphicFrame macro="">
          <xdr:nvGraphicFramePr>
            <xdr:cNvPr id="5" name="Exercise 6">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Exercise 6"/>
            </a:graphicData>
          </a:graphic>
        </xdr:graphicFrame>
      </mc:Choice>
      <mc:Fallback xmlns="">
        <xdr:sp macro="" textlink="">
          <xdr:nvSpPr>
            <xdr:cNvPr id="0" name=""/>
            <xdr:cNvSpPr>
              <a:spLocks noTextEdit="1"/>
            </xdr:cNvSpPr>
          </xdr:nvSpPr>
          <xdr:spPr>
            <a:xfrm>
              <a:off x="609600" y="2371726"/>
              <a:ext cx="1828800" cy="1971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133350</xdr:colOff>
      <xdr:row>11</xdr:row>
      <xdr:rowOff>19052</xdr:rowOff>
    </xdr:from>
    <xdr:to>
      <xdr:col>27</xdr:col>
      <xdr:colOff>600075</xdr:colOff>
      <xdr:row>29</xdr:row>
      <xdr:rowOff>190500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638175</xdr:colOff>
      <xdr:row>31</xdr:row>
      <xdr:rowOff>19051</xdr:rowOff>
    </xdr:from>
    <xdr:to>
      <xdr:col>17</xdr:col>
      <xdr:colOff>123825</xdr:colOff>
      <xdr:row>49</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600075</xdr:colOff>
      <xdr:row>31</xdr:row>
      <xdr:rowOff>28575</xdr:rowOff>
    </xdr:from>
    <xdr:to>
      <xdr:col>3</xdr:col>
      <xdr:colOff>514350</xdr:colOff>
      <xdr:row>49</xdr:row>
      <xdr:rowOff>0</xdr:rowOff>
    </xdr:to>
    <mc:AlternateContent xmlns:mc="http://schemas.openxmlformats.org/markup-compatibility/2006" xmlns:a14="http://schemas.microsoft.com/office/drawing/2010/main">
      <mc:Choice Requires="a14">
        <xdr:graphicFrame macro="">
          <xdr:nvGraphicFramePr>
            <xdr:cNvPr id="8" name="Exercise 3">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Exercise 3"/>
            </a:graphicData>
          </a:graphic>
        </xdr:graphicFrame>
      </mc:Choice>
      <mc:Fallback xmlns="">
        <xdr:sp macro="" textlink="">
          <xdr:nvSpPr>
            <xdr:cNvPr id="0" name=""/>
            <xdr:cNvSpPr>
              <a:spLocks noTextEdit="1"/>
            </xdr:cNvSpPr>
          </xdr:nvSpPr>
          <xdr:spPr>
            <a:xfrm>
              <a:off x="600075" y="6134100"/>
              <a:ext cx="1828800" cy="3438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0</xdr:colOff>
      <xdr:row>11</xdr:row>
      <xdr:rowOff>76201</xdr:rowOff>
    </xdr:to>
    <mc:AlternateContent xmlns:mc="http://schemas.openxmlformats.org/markup-compatibility/2006" xmlns:a14="http://schemas.microsoft.com/office/drawing/2010/main">
      <mc:Choice Requires="a14">
        <xdr:graphicFrame macro="">
          <xdr:nvGraphicFramePr>
            <xdr:cNvPr id="4" name="Exercise 8">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Exercise 8"/>
            </a:graphicData>
          </a:graphic>
        </xdr:graphicFrame>
      </mc:Choice>
      <mc:Fallback xmlns="">
        <xdr:sp macro="" textlink="">
          <xdr:nvSpPr>
            <xdr:cNvPr id="0" name=""/>
            <xdr:cNvSpPr>
              <a:spLocks noTextEdit="1"/>
            </xdr:cNvSpPr>
          </xdr:nvSpPr>
          <xdr:spPr>
            <a:xfrm>
              <a:off x="0" y="190500"/>
              <a:ext cx="1828800" cy="1981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1019175</xdr:colOff>
      <xdr:row>0</xdr:row>
      <xdr:rowOff>0</xdr:rowOff>
    </xdr:from>
    <xdr:to>
      <xdr:col>14</xdr:col>
      <xdr:colOff>1390650</xdr:colOff>
      <xdr:row>12</xdr:row>
      <xdr:rowOff>238125</xdr:rowOff>
    </xdr:to>
    <mc:AlternateContent xmlns:mc="http://schemas.openxmlformats.org/markup-compatibility/2006" xmlns:a14="http://schemas.microsoft.com/office/drawing/2010/main">
      <mc:Choice Requires="a14">
        <xdr:graphicFrame macro="">
          <xdr:nvGraphicFramePr>
            <xdr:cNvPr id="3" name="Exercise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Exercise 1"/>
            </a:graphicData>
          </a:graphic>
        </xdr:graphicFrame>
      </mc:Choice>
      <mc:Fallback xmlns="">
        <xdr:sp macro="" textlink="">
          <xdr:nvSpPr>
            <xdr:cNvPr id="0" name=""/>
            <xdr:cNvSpPr>
              <a:spLocks noTextEdit="1"/>
            </xdr:cNvSpPr>
          </xdr:nvSpPr>
          <xdr:spPr>
            <a:xfrm>
              <a:off x="14439900" y="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77953</xdr:colOff>
      <xdr:row>0</xdr:row>
      <xdr:rowOff>47626</xdr:rowOff>
    </xdr:from>
    <xdr:to>
      <xdr:col>22</xdr:col>
      <xdr:colOff>428624</xdr:colOff>
      <xdr:row>12</xdr:row>
      <xdr:rowOff>133350</xdr:rowOff>
    </xdr:to>
    <xdr:pic>
      <xdr:nvPicPr>
        <xdr:cNvPr id="2" name="Picture 1" descr="CDN media">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03178" y="47626"/>
          <a:ext cx="4617871" cy="2381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 Rey" refreshedDate="45295.276532060183" createdVersion="8" refreshedVersion="8" minRefreshableVersion="3" recordCount="955" xr:uid="{8BF09B96-1B52-4D6F-9A67-BC7A27BA5E3A}">
  <cacheSource type="worksheet">
    <worksheetSource name="get_data"/>
  </cacheSource>
  <cacheFields count="11">
    <cacheField name="Date" numFmtId="0">
      <sharedItems containsDate="1" containsMixedTypes="1" minDate="2023-09-13T00:00:00" maxDate="2024-01-03T00:00:00" count="148">
        <s v="9/13/2023"/>
        <s v="9/14/2023"/>
        <s v="9/15/2023"/>
        <s v="9/17/2023"/>
        <s v="9/18/2023"/>
        <s v="9/19/2023"/>
        <s v="9/20/2023"/>
        <s v="9/21/2023"/>
        <s v="9/22/2023"/>
        <s v="9/24/2023"/>
        <s v="9/25/2023"/>
        <s v="9/26/2023"/>
        <s v="9/27/2023"/>
        <s v="9/28/2023"/>
        <s v="9/29/2023"/>
        <s v="10/1/2023"/>
        <s v="10/2/2023"/>
        <s v="10/3/2023"/>
        <s v="10/4/2023"/>
        <s v="10/5/2023"/>
        <s v="10/6/2023"/>
        <s v="10/9/2023"/>
        <s v="10/10/2023"/>
        <s v="10/11/2023"/>
        <s v="10/12/2023"/>
        <s v="10/18/2023"/>
        <s v="10/19/2023"/>
        <s v="10/21/2023"/>
        <s v="10/23/2023"/>
        <s v="10/24/2023"/>
        <s v="10/26/2023"/>
        <s v="10/28/2023"/>
        <s v="10/30/2023"/>
        <s v="10/31/2023"/>
        <s v="11/7/2023"/>
        <s v="11/8/2023"/>
        <s v="11/9/2023"/>
        <s v="11/12/2023"/>
        <s v="11/13/2023"/>
        <s v="11/14/2023"/>
        <s v="11/16/2023"/>
        <s v="11/17/2023"/>
        <s v="11/19/2023"/>
        <s v="11/20/2023"/>
        <s v="11/23/2023"/>
        <s v="11/24/2023"/>
        <s v="11/26/2023"/>
        <s v="11/27/2023"/>
        <s v="11/28/2023"/>
        <s v="12/5/2023"/>
        <s v="12/6/2023"/>
        <s v="12/8/2023"/>
        <s v="12/9/2023"/>
        <s v="12/10/2023"/>
        <s v="12/12/2023"/>
        <s v="12/13/2023"/>
        <s v="12/14/2023"/>
        <s v="12/15/2023"/>
        <s v="12/17/2023"/>
        <s v="12/18/2023"/>
        <s v="12/20/2023"/>
        <s v="12/21/2023"/>
        <s v="12/22/2023"/>
        <s v="12/24/2023"/>
        <s v="12/25/2023"/>
        <s v="12/26/2023"/>
        <s v="12/27/2023"/>
        <s v="12/28/2023"/>
        <s v="12/29/2023"/>
        <s v="12/30/2023"/>
        <s v="12/31/2023"/>
        <s v="1/1/2024"/>
        <s v="1/2/2024"/>
        <d v="2023-09-13T00:00:00" u="1"/>
        <d v="2023-09-14T00:00:00" u="1"/>
        <d v="2023-09-15T00:00:00" u="1"/>
        <d v="2023-09-17T00:00:00" u="1"/>
        <d v="2023-09-18T00:00:00" u="1"/>
        <d v="2023-09-19T00:00:00" u="1"/>
        <d v="2023-09-20T00:00:00" u="1"/>
        <d v="2023-09-21T00:00:00" u="1"/>
        <d v="2023-09-22T00:00:00" u="1"/>
        <d v="2023-09-24T00:00:00" u="1"/>
        <d v="2023-09-25T00:00:00" u="1"/>
        <d v="2023-09-26T00:00:00" u="1"/>
        <d v="2023-09-27T00:00:00" u="1"/>
        <d v="2023-09-28T00:00:00" u="1"/>
        <d v="2023-09-29T00:00:00" u="1"/>
        <d v="2023-10-01T00:00:00" u="1"/>
        <d v="2023-10-02T00:00:00" u="1"/>
        <d v="2023-10-03T00:00:00" u="1"/>
        <d v="2023-10-04T00:00:00" u="1"/>
        <d v="2023-10-05T00:00:00" u="1"/>
        <d v="2023-10-06T00:00:00" u="1"/>
        <d v="2023-10-09T00:00:00" u="1"/>
        <d v="2023-10-10T00:00:00" u="1"/>
        <d v="2023-10-11T00:00:00" u="1"/>
        <d v="2023-10-12T00:00:00" u="1"/>
        <d v="2023-10-18T00:00:00" u="1"/>
        <d v="2023-10-19T00:00:00" u="1"/>
        <d v="2023-10-21T00:00:00" u="1"/>
        <d v="2023-10-23T00:00:00" u="1"/>
        <d v="2023-10-24T00:00:00" u="1"/>
        <d v="2023-10-26T00:00:00" u="1"/>
        <d v="2023-10-28T00:00:00" u="1"/>
        <d v="2023-10-30T00:00:00" u="1"/>
        <d v="2023-10-31T00:00:00" u="1"/>
        <d v="2023-11-07T00:00:00" u="1"/>
        <d v="2023-11-08T00:00:00" u="1"/>
        <d v="2023-11-09T00:00:00" u="1"/>
        <d v="2023-11-12T00:00:00" u="1"/>
        <d v="2023-11-13T00:00:00" u="1"/>
        <d v="2023-11-14T00:00:00" u="1"/>
        <d v="2023-11-16T00:00:00" u="1"/>
        <d v="2023-11-17T00:00:00" u="1"/>
        <d v="2023-11-19T00:00:00" u="1"/>
        <d v="2023-11-20T00:00:00" u="1"/>
        <d v="2023-11-23T00:00:00" u="1"/>
        <d v="2023-11-24T00:00:00" u="1"/>
        <d v="2023-11-26T00:00:00" u="1"/>
        <d v="2023-11-27T00:00:00" u="1"/>
        <d v="2023-11-28T00:00:00" u="1"/>
        <d v="2023-12-05T00:00:00" u="1"/>
        <d v="2023-12-06T00:00:00" u="1"/>
        <d v="2023-12-08T00:00:00" u="1"/>
        <d v="2023-12-09T00:00:00" u="1"/>
        <d v="2023-12-10T00:00:00" u="1"/>
        <d v="2023-12-12T00:00:00" u="1"/>
        <d v="2023-12-13T00:00:00" u="1"/>
        <d v="2023-12-14T00:00:00" u="1"/>
        <d v="2023-12-15T00:00:00" u="1"/>
        <d v="2023-12-17T00:00:00" u="1"/>
        <d v="2023-12-18T00:00:00" u="1"/>
        <d v="2023-12-20T00:00:00" u="1"/>
        <d v="2023-12-21T00:00:00" u="1"/>
        <d v="2023-12-22T00:00:00" u="1"/>
        <d v="2023-12-24T00:00:00" u="1"/>
        <d v="2023-12-25T00:00:00" u="1"/>
        <d v="2023-12-26T00:00:00" u="1"/>
        <d v="2023-12-27T00:00:00" u="1"/>
        <d v="2023-12-28T00:00:00" u="1"/>
        <d v="2023-12-29T00:00:00" u="1"/>
        <d v="2023-12-30T00:00:00" u="1"/>
        <d v="2023-12-31T00:00:00" u="1"/>
        <d v="2024-01-01T00:00:00" u="1"/>
        <d v="2024-01-02T00:00:00" u="1"/>
        <d v="2023-11-22T00:00:00" u="1"/>
        <d v="2023-11-15T00:00:00" u="1"/>
      </sharedItems>
    </cacheField>
    <cacheField name="DateID" numFmtId="14">
      <sharedItems containsSemiMixedTypes="0" containsNonDate="0" containsDate="1" containsString="0" minDate="2023-09-13T00:00:00" maxDate="2024-01-03T00:00:00"/>
    </cacheField>
    <cacheField name="Exercise" numFmtId="0">
      <sharedItems containsBlank="1" count="29">
        <s v="Bent Over Rows"/>
        <s v="Ez Curls"/>
        <s v="Rdl"/>
        <s v="Flat Bench Press"/>
        <s v="Lying Tricep Extensions"/>
        <s v="Overhead Press"/>
        <s v="Rev Flyes"/>
        <s v="Back Squat"/>
        <s v="Pulldown"/>
        <s v="Front Squat"/>
        <s v="Incline Bench Press"/>
        <s v="Pullups"/>
        <s v="Y Lateral Raises"/>
        <s v="Deadlift"/>
        <s v="Tricep Pushdown "/>
        <s v="Shrugs"/>
        <s v="Bb Wrist Curls"/>
        <s v="Cable Crunches"/>
        <s v="Wrist Extensions"/>
        <s v="Standing Laterals"/>
        <s v="Standing Calf Raises"/>
        <s v="Lat Prayers"/>
        <s v="1 Leg Calf Raises"/>
        <s v="Cable Curls"/>
        <s v="Hanging Leg Raises" u="1"/>
        <s v="Standing Lateral Raises" u="1"/>
        <s v="Ez Bent Over Rows" u="1"/>
        <s v="Incline Y Raises" u="1"/>
        <m u="1"/>
      </sharedItems>
      <fieldGroup par="10"/>
    </cacheField>
    <cacheField name="Set #" numFmtId="0">
      <sharedItems containsSemiMixedTypes="0" containsString="0" containsNumber="1" containsInteger="1" minValue="1" maxValue="8"/>
    </cacheField>
    <cacheField name="Weight" numFmtId="0">
      <sharedItems containsSemiMixedTypes="0" containsString="0" containsNumber="1" containsInteger="1" minValue="1" maxValue="285"/>
    </cacheField>
    <cacheField name="Reps" numFmtId="0">
      <sharedItems containsSemiMixedTypes="0" containsString="0" containsNumber="1" containsInteger="1" minValue="3" maxValue="25"/>
    </cacheField>
    <cacheField name="Tonnage" numFmtId="0">
      <sharedItems containsSemiMixedTypes="0" containsString="0" containsNumber="1" containsInteger="1" minValue="15" maxValue="2640"/>
    </cacheField>
    <cacheField name="1 Rep Max" numFmtId="0">
      <sharedItems containsSemiMixedTypes="0" containsString="0" containsNumber="1" minValue="1.5" maxValue="332.5"/>
    </cacheField>
    <cacheField name="Routine" numFmtId="0">
      <sharedItems containsBlank="1" count="6">
        <s v="Pull"/>
        <s v="Legs"/>
        <s v="Push"/>
        <s v="Arms"/>
        <s v="Arms + Abs" u="1"/>
        <m u="1"/>
      </sharedItems>
    </cacheField>
    <cacheField name="Core vs Accessory" numFmtId="0">
      <sharedItems count="3">
        <s v="Core"/>
        <s v="Accessory"/>
        <s v="Acessory" u="1"/>
      </sharedItems>
    </cacheField>
    <cacheField name="Exercise2" numFmtId="0" databaseField="0">
      <fieldGroup base="2">
        <discretePr count="29">
          <x v="1"/>
          <x v="2"/>
          <x v="2"/>
          <x v="1"/>
          <x v="2"/>
          <x v="1"/>
          <x v="3"/>
          <x v="2"/>
          <x v="2"/>
          <x v="1"/>
          <x v="2"/>
          <x v="1"/>
          <x v="6"/>
          <x v="1"/>
          <x v="4"/>
          <x v="5"/>
          <x v="7"/>
          <x v="8"/>
          <x v="10"/>
          <x v="11"/>
          <x v="12"/>
          <x v="2"/>
          <x v="13"/>
          <x v="14"/>
          <x v="9"/>
          <x v="2"/>
          <x v="2"/>
          <x v="2"/>
          <x v="0"/>
        </discretePr>
        <groupItems count="15">
          <m/>
          <s v="Group1"/>
          <s v="Group2"/>
          <s v="Rev Flyes"/>
          <s v="Tricep Pushdown "/>
          <s v="Shrugs"/>
          <s v="Y Lateral Raises"/>
          <s v="Bb Wrist Curls"/>
          <s v="Cable Crunches"/>
          <s v="Hanging Leg Raises"/>
          <s v="Wrist Extensions"/>
          <s v="Standing Laterals"/>
          <s v="Standing Calf Raises"/>
          <s v="1 Leg Calf Raises"/>
          <s v="Cable Curls"/>
        </groupItems>
      </fieldGroup>
    </cacheField>
  </cacheFields>
  <extLst>
    <ext xmlns:x14="http://schemas.microsoft.com/office/spreadsheetml/2009/9/main" uri="{725AE2AE-9491-48be-B2B4-4EB974FC3084}">
      <x14:pivotCacheDefinition pivotCacheId="668668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5">
  <r>
    <x v="0"/>
    <d v="2023-09-13T00:00:00"/>
    <x v="0"/>
    <n v="1"/>
    <n v="45"/>
    <n v="10"/>
    <n v="450"/>
    <n v="60"/>
    <x v="0"/>
    <x v="0"/>
  </r>
  <r>
    <x v="0"/>
    <d v="2023-09-13T00:00:00"/>
    <x v="0"/>
    <n v="2"/>
    <n v="55"/>
    <n v="10"/>
    <n v="550"/>
    <n v="73.33"/>
    <x v="0"/>
    <x v="0"/>
  </r>
  <r>
    <x v="0"/>
    <d v="2023-09-13T00:00:00"/>
    <x v="0"/>
    <n v="3"/>
    <n v="45"/>
    <n v="10"/>
    <n v="450"/>
    <n v="60"/>
    <x v="0"/>
    <x v="0"/>
  </r>
  <r>
    <x v="0"/>
    <d v="2023-09-13T00:00:00"/>
    <x v="1"/>
    <n v="1"/>
    <n v="45"/>
    <n v="15"/>
    <n v="675"/>
    <n v="67.5"/>
    <x v="0"/>
    <x v="1"/>
  </r>
  <r>
    <x v="0"/>
    <d v="2023-09-13T00:00:00"/>
    <x v="1"/>
    <n v="2"/>
    <n v="50"/>
    <n v="13"/>
    <n v="650"/>
    <n v="71.67"/>
    <x v="0"/>
    <x v="1"/>
  </r>
  <r>
    <x v="0"/>
    <d v="2023-09-13T00:00:00"/>
    <x v="1"/>
    <n v="3"/>
    <n v="45"/>
    <n v="14"/>
    <n v="630"/>
    <n v="66"/>
    <x v="0"/>
    <x v="1"/>
  </r>
  <r>
    <x v="1"/>
    <d v="2023-09-14T00:00:00"/>
    <x v="2"/>
    <n v="1"/>
    <n v="105"/>
    <n v="10"/>
    <n v="1050"/>
    <n v="140"/>
    <x v="1"/>
    <x v="0"/>
  </r>
  <r>
    <x v="1"/>
    <d v="2023-09-14T00:00:00"/>
    <x v="2"/>
    <n v="2"/>
    <n v="105"/>
    <n v="11"/>
    <n v="1155"/>
    <n v="143.5"/>
    <x v="1"/>
    <x v="0"/>
  </r>
  <r>
    <x v="1"/>
    <d v="2023-09-14T00:00:00"/>
    <x v="2"/>
    <n v="3"/>
    <n v="115"/>
    <n v="10"/>
    <n v="1150"/>
    <n v="153.33000000000001"/>
    <x v="1"/>
    <x v="0"/>
  </r>
  <r>
    <x v="2"/>
    <d v="2023-09-15T00:00:00"/>
    <x v="3"/>
    <n v="1"/>
    <n v="45"/>
    <n v="10"/>
    <n v="450"/>
    <n v="60"/>
    <x v="2"/>
    <x v="0"/>
  </r>
  <r>
    <x v="2"/>
    <d v="2023-09-15T00:00:00"/>
    <x v="3"/>
    <n v="2"/>
    <n v="95"/>
    <n v="12"/>
    <n v="1140"/>
    <n v="133"/>
    <x v="2"/>
    <x v="0"/>
  </r>
  <r>
    <x v="2"/>
    <d v="2023-09-15T00:00:00"/>
    <x v="3"/>
    <n v="3"/>
    <n v="105"/>
    <n v="10"/>
    <n v="1050"/>
    <n v="140"/>
    <x v="2"/>
    <x v="0"/>
  </r>
  <r>
    <x v="2"/>
    <d v="2023-09-15T00:00:00"/>
    <x v="3"/>
    <n v="4"/>
    <n v="105"/>
    <n v="8"/>
    <n v="840"/>
    <n v="133"/>
    <x v="2"/>
    <x v="0"/>
  </r>
  <r>
    <x v="2"/>
    <d v="2023-09-15T00:00:00"/>
    <x v="4"/>
    <n v="1"/>
    <n v="35"/>
    <n v="15"/>
    <n v="525"/>
    <n v="52.5"/>
    <x v="2"/>
    <x v="1"/>
  </r>
  <r>
    <x v="2"/>
    <d v="2023-09-15T00:00:00"/>
    <x v="4"/>
    <n v="2"/>
    <n v="45"/>
    <n v="15"/>
    <n v="675"/>
    <n v="67.5"/>
    <x v="2"/>
    <x v="1"/>
  </r>
  <r>
    <x v="2"/>
    <d v="2023-09-15T00:00:00"/>
    <x v="4"/>
    <n v="3"/>
    <n v="45"/>
    <n v="10"/>
    <n v="450"/>
    <n v="60"/>
    <x v="2"/>
    <x v="1"/>
  </r>
  <r>
    <x v="2"/>
    <d v="2023-09-15T00:00:00"/>
    <x v="5"/>
    <n v="1"/>
    <n v="45"/>
    <n v="10"/>
    <n v="450"/>
    <n v="60"/>
    <x v="2"/>
    <x v="0"/>
  </r>
  <r>
    <x v="2"/>
    <d v="2023-09-15T00:00:00"/>
    <x v="5"/>
    <n v="2"/>
    <n v="50"/>
    <n v="9"/>
    <n v="450"/>
    <n v="65"/>
    <x v="2"/>
    <x v="0"/>
  </r>
  <r>
    <x v="2"/>
    <d v="2023-09-15T00:00:00"/>
    <x v="5"/>
    <n v="3"/>
    <n v="50"/>
    <n v="5"/>
    <n v="250"/>
    <n v="58.33"/>
    <x v="2"/>
    <x v="0"/>
  </r>
  <r>
    <x v="2"/>
    <d v="2023-09-15T00:00:00"/>
    <x v="6"/>
    <n v="1"/>
    <n v="2"/>
    <n v="20"/>
    <n v="40"/>
    <n v="3.33"/>
    <x v="2"/>
    <x v="1"/>
  </r>
  <r>
    <x v="2"/>
    <d v="2023-09-15T00:00:00"/>
    <x v="6"/>
    <n v="2"/>
    <n v="5"/>
    <n v="20"/>
    <n v="100"/>
    <n v="8.33"/>
    <x v="2"/>
    <x v="1"/>
  </r>
  <r>
    <x v="2"/>
    <d v="2023-09-15T00:00:00"/>
    <x v="6"/>
    <n v="3"/>
    <n v="2"/>
    <n v="20"/>
    <n v="40"/>
    <n v="3.33"/>
    <x v="2"/>
    <x v="1"/>
  </r>
  <r>
    <x v="3"/>
    <d v="2023-09-17T00:00:00"/>
    <x v="2"/>
    <n v="1"/>
    <n v="105"/>
    <n v="10"/>
    <n v="1050"/>
    <n v="140"/>
    <x v="1"/>
    <x v="0"/>
  </r>
  <r>
    <x v="3"/>
    <d v="2023-09-17T00:00:00"/>
    <x v="2"/>
    <n v="2"/>
    <n v="120"/>
    <n v="15"/>
    <n v="1800"/>
    <n v="180"/>
    <x v="1"/>
    <x v="0"/>
  </r>
  <r>
    <x v="4"/>
    <d v="2023-09-18T00:00:00"/>
    <x v="3"/>
    <n v="1"/>
    <n v="45"/>
    <n v="10"/>
    <n v="450"/>
    <n v="60"/>
    <x v="2"/>
    <x v="0"/>
  </r>
  <r>
    <x v="4"/>
    <d v="2023-09-18T00:00:00"/>
    <x v="3"/>
    <n v="2"/>
    <n v="95"/>
    <n v="10"/>
    <n v="950"/>
    <n v="126.67"/>
    <x v="2"/>
    <x v="0"/>
  </r>
  <r>
    <x v="4"/>
    <d v="2023-09-18T00:00:00"/>
    <x v="3"/>
    <n v="3"/>
    <n v="110"/>
    <n v="10"/>
    <n v="1100"/>
    <n v="146.66999999999999"/>
    <x v="2"/>
    <x v="0"/>
  </r>
  <r>
    <x v="4"/>
    <d v="2023-09-18T00:00:00"/>
    <x v="3"/>
    <n v="4"/>
    <n v="110"/>
    <n v="7"/>
    <n v="770"/>
    <n v="135.66999999999999"/>
    <x v="2"/>
    <x v="0"/>
  </r>
  <r>
    <x v="4"/>
    <d v="2023-09-18T00:00:00"/>
    <x v="4"/>
    <n v="1"/>
    <n v="35"/>
    <n v="15"/>
    <n v="525"/>
    <n v="52.5"/>
    <x v="2"/>
    <x v="1"/>
  </r>
  <r>
    <x v="4"/>
    <d v="2023-09-18T00:00:00"/>
    <x v="4"/>
    <n v="2"/>
    <n v="45"/>
    <n v="15"/>
    <n v="675"/>
    <n v="67.5"/>
    <x v="2"/>
    <x v="1"/>
  </r>
  <r>
    <x v="4"/>
    <d v="2023-09-18T00:00:00"/>
    <x v="4"/>
    <n v="3"/>
    <n v="45"/>
    <n v="12"/>
    <n v="540"/>
    <n v="63"/>
    <x v="2"/>
    <x v="1"/>
  </r>
  <r>
    <x v="4"/>
    <d v="2023-09-18T00:00:00"/>
    <x v="5"/>
    <n v="1"/>
    <n v="45"/>
    <n v="10"/>
    <n v="450"/>
    <n v="60"/>
    <x v="2"/>
    <x v="0"/>
  </r>
  <r>
    <x v="4"/>
    <d v="2023-09-18T00:00:00"/>
    <x v="5"/>
    <n v="2"/>
    <n v="50"/>
    <n v="12"/>
    <n v="600"/>
    <n v="70"/>
    <x v="2"/>
    <x v="0"/>
  </r>
  <r>
    <x v="4"/>
    <d v="2023-09-18T00:00:00"/>
    <x v="5"/>
    <n v="3"/>
    <n v="55"/>
    <n v="10"/>
    <n v="550"/>
    <n v="73.33"/>
    <x v="2"/>
    <x v="0"/>
  </r>
  <r>
    <x v="4"/>
    <d v="2023-09-18T00:00:00"/>
    <x v="6"/>
    <n v="1"/>
    <n v="2"/>
    <n v="20"/>
    <n v="40"/>
    <n v="3.33"/>
    <x v="2"/>
    <x v="1"/>
  </r>
  <r>
    <x v="4"/>
    <d v="2023-09-18T00:00:00"/>
    <x v="6"/>
    <n v="2"/>
    <n v="2"/>
    <n v="20"/>
    <n v="40"/>
    <n v="3.33"/>
    <x v="2"/>
    <x v="1"/>
  </r>
  <r>
    <x v="4"/>
    <d v="2023-09-18T00:00:00"/>
    <x v="6"/>
    <n v="3"/>
    <n v="2"/>
    <n v="20"/>
    <n v="40"/>
    <n v="3.33"/>
    <x v="2"/>
    <x v="1"/>
  </r>
  <r>
    <x v="5"/>
    <d v="2023-09-19T00:00:00"/>
    <x v="0"/>
    <n v="1"/>
    <n v="45"/>
    <n v="10"/>
    <n v="450"/>
    <n v="60"/>
    <x v="0"/>
    <x v="0"/>
  </r>
  <r>
    <x v="5"/>
    <d v="2023-09-19T00:00:00"/>
    <x v="0"/>
    <n v="2"/>
    <n v="75"/>
    <n v="10"/>
    <n v="750"/>
    <n v="100"/>
    <x v="0"/>
    <x v="0"/>
  </r>
  <r>
    <x v="5"/>
    <d v="2023-09-19T00:00:00"/>
    <x v="0"/>
    <n v="3"/>
    <n v="65"/>
    <n v="10"/>
    <n v="650"/>
    <n v="86.67"/>
    <x v="0"/>
    <x v="0"/>
  </r>
  <r>
    <x v="5"/>
    <d v="2023-09-19T00:00:00"/>
    <x v="1"/>
    <n v="1"/>
    <n v="45"/>
    <n v="15"/>
    <n v="675"/>
    <n v="67.5"/>
    <x v="0"/>
    <x v="1"/>
  </r>
  <r>
    <x v="5"/>
    <d v="2023-09-19T00:00:00"/>
    <x v="1"/>
    <n v="2"/>
    <n v="50"/>
    <n v="13"/>
    <n v="650"/>
    <n v="71.67"/>
    <x v="0"/>
    <x v="1"/>
  </r>
  <r>
    <x v="5"/>
    <d v="2023-09-19T00:00:00"/>
    <x v="1"/>
    <n v="3"/>
    <n v="50"/>
    <n v="11"/>
    <n v="550"/>
    <n v="68.33"/>
    <x v="0"/>
    <x v="1"/>
  </r>
  <r>
    <x v="6"/>
    <d v="2023-09-20T00:00:00"/>
    <x v="7"/>
    <n v="1"/>
    <n v="45"/>
    <n v="8"/>
    <n v="360"/>
    <n v="57"/>
    <x v="1"/>
    <x v="1"/>
  </r>
  <r>
    <x v="6"/>
    <d v="2023-09-20T00:00:00"/>
    <x v="7"/>
    <n v="2"/>
    <n v="45"/>
    <n v="10"/>
    <n v="450"/>
    <n v="60"/>
    <x v="1"/>
    <x v="1"/>
  </r>
  <r>
    <x v="6"/>
    <d v="2023-09-20T00:00:00"/>
    <x v="7"/>
    <n v="3"/>
    <n v="65"/>
    <n v="10"/>
    <n v="650"/>
    <n v="86.67"/>
    <x v="1"/>
    <x v="1"/>
  </r>
  <r>
    <x v="6"/>
    <d v="2023-09-20T00:00:00"/>
    <x v="7"/>
    <n v="4"/>
    <n v="80"/>
    <n v="10"/>
    <n v="800"/>
    <n v="106.67"/>
    <x v="1"/>
    <x v="1"/>
  </r>
  <r>
    <x v="6"/>
    <d v="2023-09-20T00:00:00"/>
    <x v="7"/>
    <n v="5"/>
    <n v="80"/>
    <n v="10"/>
    <n v="800"/>
    <n v="106.67"/>
    <x v="1"/>
    <x v="1"/>
  </r>
  <r>
    <x v="6"/>
    <d v="2023-09-20T00:00:00"/>
    <x v="2"/>
    <n v="1"/>
    <n v="95"/>
    <n v="10"/>
    <n v="950"/>
    <n v="126.67"/>
    <x v="1"/>
    <x v="0"/>
  </r>
  <r>
    <x v="6"/>
    <d v="2023-09-20T00:00:00"/>
    <x v="2"/>
    <n v="2"/>
    <n v="130"/>
    <n v="10"/>
    <n v="1300"/>
    <n v="173.33"/>
    <x v="1"/>
    <x v="0"/>
  </r>
  <r>
    <x v="6"/>
    <d v="2023-09-20T00:00:00"/>
    <x v="2"/>
    <n v="3"/>
    <n v="130"/>
    <n v="10"/>
    <n v="1300"/>
    <n v="173.33"/>
    <x v="1"/>
    <x v="0"/>
  </r>
  <r>
    <x v="7"/>
    <d v="2023-09-21T00:00:00"/>
    <x v="3"/>
    <n v="1"/>
    <n v="45"/>
    <n v="10"/>
    <n v="450"/>
    <n v="60"/>
    <x v="2"/>
    <x v="0"/>
  </r>
  <r>
    <x v="7"/>
    <d v="2023-09-21T00:00:00"/>
    <x v="3"/>
    <n v="2"/>
    <n v="95"/>
    <n v="10"/>
    <n v="950"/>
    <n v="126.67"/>
    <x v="2"/>
    <x v="0"/>
  </r>
  <r>
    <x v="7"/>
    <d v="2023-09-21T00:00:00"/>
    <x v="3"/>
    <n v="3"/>
    <n v="115"/>
    <n v="9"/>
    <n v="1035"/>
    <n v="149.5"/>
    <x v="2"/>
    <x v="0"/>
  </r>
  <r>
    <x v="7"/>
    <d v="2023-09-21T00:00:00"/>
    <x v="3"/>
    <n v="4"/>
    <n v="95"/>
    <n v="10"/>
    <n v="950"/>
    <n v="126.67"/>
    <x v="2"/>
    <x v="0"/>
  </r>
  <r>
    <x v="7"/>
    <d v="2023-09-21T00:00:00"/>
    <x v="4"/>
    <n v="1"/>
    <n v="45"/>
    <n v="16"/>
    <n v="720"/>
    <n v="69"/>
    <x v="2"/>
    <x v="1"/>
  </r>
  <r>
    <x v="7"/>
    <d v="2023-09-21T00:00:00"/>
    <x v="4"/>
    <n v="2"/>
    <n v="50"/>
    <n v="12"/>
    <n v="600"/>
    <n v="70"/>
    <x v="2"/>
    <x v="1"/>
  </r>
  <r>
    <x v="7"/>
    <d v="2023-09-21T00:00:00"/>
    <x v="4"/>
    <n v="3"/>
    <n v="40"/>
    <n v="13"/>
    <n v="520"/>
    <n v="57.33"/>
    <x v="2"/>
    <x v="1"/>
  </r>
  <r>
    <x v="7"/>
    <d v="2023-09-21T00:00:00"/>
    <x v="5"/>
    <n v="1"/>
    <n v="50"/>
    <n v="10"/>
    <n v="500"/>
    <n v="66.67"/>
    <x v="2"/>
    <x v="0"/>
  </r>
  <r>
    <x v="7"/>
    <d v="2023-09-21T00:00:00"/>
    <x v="5"/>
    <n v="2"/>
    <n v="55"/>
    <n v="12"/>
    <n v="660"/>
    <n v="77"/>
    <x v="2"/>
    <x v="0"/>
  </r>
  <r>
    <x v="7"/>
    <d v="2023-09-21T00:00:00"/>
    <x v="5"/>
    <n v="3"/>
    <n v="60"/>
    <n v="8"/>
    <n v="480"/>
    <n v="76"/>
    <x v="2"/>
    <x v="0"/>
  </r>
  <r>
    <x v="7"/>
    <d v="2023-09-21T00:00:00"/>
    <x v="6"/>
    <n v="1"/>
    <n v="2"/>
    <n v="20"/>
    <n v="40"/>
    <n v="3.33"/>
    <x v="2"/>
    <x v="1"/>
  </r>
  <r>
    <x v="7"/>
    <d v="2023-09-21T00:00:00"/>
    <x v="6"/>
    <n v="2"/>
    <n v="5"/>
    <n v="20"/>
    <n v="100"/>
    <n v="8.33"/>
    <x v="2"/>
    <x v="1"/>
  </r>
  <r>
    <x v="7"/>
    <d v="2023-09-21T00:00:00"/>
    <x v="6"/>
    <n v="3"/>
    <n v="2"/>
    <n v="20"/>
    <n v="40"/>
    <n v="3.33"/>
    <x v="2"/>
    <x v="1"/>
  </r>
  <r>
    <x v="8"/>
    <d v="2023-09-22T00:00:00"/>
    <x v="0"/>
    <n v="1"/>
    <n v="45"/>
    <n v="10"/>
    <n v="450"/>
    <n v="60"/>
    <x v="0"/>
    <x v="0"/>
  </r>
  <r>
    <x v="8"/>
    <d v="2023-09-22T00:00:00"/>
    <x v="0"/>
    <n v="2"/>
    <n v="75"/>
    <n v="12"/>
    <n v="900"/>
    <n v="105"/>
    <x v="0"/>
    <x v="0"/>
  </r>
  <r>
    <x v="8"/>
    <d v="2023-09-22T00:00:00"/>
    <x v="0"/>
    <n v="3"/>
    <n v="75"/>
    <n v="12"/>
    <n v="900"/>
    <n v="105"/>
    <x v="0"/>
    <x v="0"/>
  </r>
  <r>
    <x v="8"/>
    <d v="2023-09-22T00:00:00"/>
    <x v="1"/>
    <n v="1"/>
    <n v="50"/>
    <n v="15"/>
    <n v="750"/>
    <n v="75"/>
    <x v="0"/>
    <x v="1"/>
  </r>
  <r>
    <x v="8"/>
    <d v="2023-09-22T00:00:00"/>
    <x v="1"/>
    <n v="2"/>
    <n v="55"/>
    <n v="11"/>
    <n v="605"/>
    <n v="75.17"/>
    <x v="0"/>
    <x v="1"/>
  </r>
  <r>
    <x v="8"/>
    <d v="2023-09-22T00:00:00"/>
    <x v="1"/>
    <n v="3"/>
    <n v="50"/>
    <n v="13"/>
    <n v="650"/>
    <n v="71.67"/>
    <x v="0"/>
    <x v="1"/>
  </r>
  <r>
    <x v="9"/>
    <d v="2023-09-24T00:00:00"/>
    <x v="7"/>
    <n v="1"/>
    <n v="45"/>
    <n v="10"/>
    <n v="450"/>
    <n v="60"/>
    <x v="1"/>
    <x v="1"/>
  </r>
  <r>
    <x v="9"/>
    <d v="2023-09-24T00:00:00"/>
    <x v="7"/>
    <n v="2"/>
    <n v="55"/>
    <n v="10"/>
    <n v="550"/>
    <n v="73.33"/>
    <x v="1"/>
    <x v="1"/>
  </r>
  <r>
    <x v="9"/>
    <d v="2023-09-24T00:00:00"/>
    <x v="7"/>
    <n v="3"/>
    <n v="95"/>
    <n v="8"/>
    <n v="760"/>
    <n v="120.33"/>
    <x v="1"/>
    <x v="1"/>
  </r>
  <r>
    <x v="9"/>
    <d v="2023-09-24T00:00:00"/>
    <x v="7"/>
    <n v="4"/>
    <n v="95"/>
    <n v="6"/>
    <n v="570"/>
    <n v="114"/>
    <x v="1"/>
    <x v="1"/>
  </r>
  <r>
    <x v="9"/>
    <d v="2023-09-24T00:00:00"/>
    <x v="7"/>
    <n v="5"/>
    <n v="95"/>
    <n v="10"/>
    <n v="950"/>
    <n v="126.67"/>
    <x v="1"/>
    <x v="1"/>
  </r>
  <r>
    <x v="9"/>
    <d v="2023-09-24T00:00:00"/>
    <x v="2"/>
    <n v="1"/>
    <n v="95"/>
    <n v="10"/>
    <n v="950"/>
    <n v="126.67"/>
    <x v="1"/>
    <x v="0"/>
  </r>
  <r>
    <x v="9"/>
    <d v="2023-09-24T00:00:00"/>
    <x v="2"/>
    <n v="2"/>
    <n v="135"/>
    <n v="10"/>
    <n v="1350"/>
    <n v="180"/>
    <x v="1"/>
    <x v="0"/>
  </r>
  <r>
    <x v="9"/>
    <d v="2023-09-24T00:00:00"/>
    <x v="2"/>
    <n v="3"/>
    <n v="145"/>
    <n v="10"/>
    <n v="1450"/>
    <n v="193.33"/>
    <x v="1"/>
    <x v="0"/>
  </r>
  <r>
    <x v="10"/>
    <d v="2023-09-25T00:00:00"/>
    <x v="3"/>
    <n v="1"/>
    <n v="45"/>
    <n v="12"/>
    <n v="540"/>
    <n v="63"/>
    <x v="2"/>
    <x v="0"/>
  </r>
  <r>
    <x v="10"/>
    <d v="2023-09-25T00:00:00"/>
    <x v="3"/>
    <n v="2"/>
    <n v="75"/>
    <n v="12"/>
    <n v="900"/>
    <n v="105"/>
    <x v="2"/>
    <x v="0"/>
  </r>
  <r>
    <x v="10"/>
    <d v="2023-09-25T00:00:00"/>
    <x v="3"/>
    <n v="3"/>
    <n v="95"/>
    <n v="10"/>
    <n v="950"/>
    <n v="126.67"/>
    <x v="2"/>
    <x v="0"/>
  </r>
  <r>
    <x v="10"/>
    <d v="2023-09-25T00:00:00"/>
    <x v="3"/>
    <n v="4"/>
    <n v="125"/>
    <n v="5"/>
    <n v="625"/>
    <n v="145.83000000000001"/>
    <x v="2"/>
    <x v="0"/>
  </r>
  <r>
    <x v="10"/>
    <d v="2023-09-25T00:00:00"/>
    <x v="3"/>
    <n v="5"/>
    <n v="125"/>
    <n v="5"/>
    <n v="625"/>
    <n v="145.83000000000001"/>
    <x v="2"/>
    <x v="0"/>
  </r>
  <r>
    <x v="10"/>
    <d v="2023-09-25T00:00:00"/>
    <x v="4"/>
    <n v="1"/>
    <n v="45"/>
    <n v="15"/>
    <n v="675"/>
    <n v="67.5"/>
    <x v="2"/>
    <x v="1"/>
  </r>
  <r>
    <x v="10"/>
    <d v="2023-09-25T00:00:00"/>
    <x v="4"/>
    <n v="2"/>
    <n v="50"/>
    <n v="12"/>
    <n v="600"/>
    <n v="70"/>
    <x v="2"/>
    <x v="1"/>
  </r>
  <r>
    <x v="10"/>
    <d v="2023-09-25T00:00:00"/>
    <x v="4"/>
    <n v="3"/>
    <n v="50"/>
    <n v="10"/>
    <n v="500"/>
    <n v="66.67"/>
    <x v="2"/>
    <x v="1"/>
  </r>
  <r>
    <x v="10"/>
    <d v="2023-09-25T00:00:00"/>
    <x v="5"/>
    <n v="1"/>
    <n v="55"/>
    <n v="10"/>
    <n v="550"/>
    <n v="73.33"/>
    <x v="2"/>
    <x v="0"/>
  </r>
  <r>
    <x v="10"/>
    <d v="2023-09-25T00:00:00"/>
    <x v="5"/>
    <n v="2"/>
    <n v="55"/>
    <n v="10"/>
    <n v="550"/>
    <n v="73.33"/>
    <x v="2"/>
    <x v="0"/>
  </r>
  <r>
    <x v="10"/>
    <d v="2023-09-25T00:00:00"/>
    <x v="5"/>
    <n v="3"/>
    <n v="60"/>
    <n v="9"/>
    <n v="540"/>
    <n v="78"/>
    <x v="2"/>
    <x v="0"/>
  </r>
  <r>
    <x v="10"/>
    <d v="2023-09-25T00:00:00"/>
    <x v="6"/>
    <n v="1"/>
    <n v="2"/>
    <n v="20"/>
    <n v="40"/>
    <n v="3.33"/>
    <x v="2"/>
    <x v="1"/>
  </r>
  <r>
    <x v="10"/>
    <d v="2023-09-25T00:00:00"/>
    <x v="6"/>
    <n v="2"/>
    <n v="5"/>
    <n v="20"/>
    <n v="100"/>
    <n v="8.33"/>
    <x v="2"/>
    <x v="1"/>
  </r>
  <r>
    <x v="10"/>
    <d v="2023-09-25T00:00:00"/>
    <x v="6"/>
    <n v="3"/>
    <n v="5"/>
    <n v="20"/>
    <n v="100"/>
    <n v="8.33"/>
    <x v="2"/>
    <x v="1"/>
  </r>
  <r>
    <x v="11"/>
    <d v="2023-09-26T00:00:00"/>
    <x v="0"/>
    <n v="1"/>
    <n v="65"/>
    <n v="12"/>
    <n v="780"/>
    <n v="91"/>
    <x v="0"/>
    <x v="0"/>
  </r>
  <r>
    <x v="11"/>
    <d v="2023-09-26T00:00:00"/>
    <x v="0"/>
    <n v="2"/>
    <n v="80"/>
    <n v="12"/>
    <n v="960"/>
    <n v="112"/>
    <x v="0"/>
    <x v="0"/>
  </r>
  <r>
    <x v="11"/>
    <d v="2023-09-26T00:00:00"/>
    <x v="0"/>
    <n v="3"/>
    <n v="95"/>
    <n v="11"/>
    <n v="1045"/>
    <n v="129.83000000000001"/>
    <x v="0"/>
    <x v="0"/>
  </r>
  <r>
    <x v="11"/>
    <d v="2023-09-26T00:00:00"/>
    <x v="1"/>
    <n v="1"/>
    <n v="50"/>
    <n v="15"/>
    <n v="750"/>
    <n v="75"/>
    <x v="0"/>
    <x v="1"/>
  </r>
  <r>
    <x v="11"/>
    <d v="2023-09-26T00:00:00"/>
    <x v="1"/>
    <n v="2"/>
    <n v="55"/>
    <n v="12"/>
    <n v="660"/>
    <n v="77"/>
    <x v="0"/>
    <x v="1"/>
  </r>
  <r>
    <x v="11"/>
    <d v="2023-09-26T00:00:00"/>
    <x v="1"/>
    <n v="3"/>
    <n v="50"/>
    <n v="12"/>
    <n v="600"/>
    <n v="70"/>
    <x v="0"/>
    <x v="1"/>
  </r>
  <r>
    <x v="11"/>
    <d v="2023-09-26T00:00:00"/>
    <x v="1"/>
    <n v="4"/>
    <n v="50"/>
    <n v="8"/>
    <n v="400"/>
    <n v="63.33"/>
    <x v="0"/>
    <x v="1"/>
  </r>
  <r>
    <x v="11"/>
    <d v="2023-09-26T00:00:00"/>
    <x v="8"/>
    <n v="1"/>
    <n v="50"/>
    <n v="10"/>
    <n v="500"/>
    <n v="66.67"/>
    <x v="0"/>
    <x v="1"/>
  </r>
  <r>
    <x v="12"/>
    <d v="2023-09-27T00:00:00"/>
    <x v="7"/>
    <n v="1"/>
    <n v="95"/>
    <n v="10"/>
    <n v="950"/>
    <n v="126.67"/>
    <x v="1"/>
    <x v="1"/>
  </r>
  <r>
    <x v="12"/>
    <d v="2023-09-27T00:00:00"/>
    <x v="7"/>
    <n v="2"/>
    <n v="115"/>
    <n v="10"/>
    <n v="1150"/>
    <n v="153.33000000000001"/>
    <x v="1"/>
    <x v="1"/>
  </r>
  <r>
    <x v="12"/>
    <d v="2023-09-27T00:00:00"/>
    <x v="7"/>
    <n v="3"/>
    <n v="115"/>
    <n v="10"/>
    <n v="1150"/>
    <n v="153.33000000000001"/>
    <x v="1"/>
    <x v="1"/>
  </r>
  <r>
    <x v="12"/>
    <d v="2023-09-27T00:00:00"/>
    <x v="9"/>
    <n v="1"/>
    <n v="45"/>
    <n v="10"/>
    <n v="450"/>
    <n v="60"/>
    <x v="1"/>
    <x v="0"/>
  </r>
  <r>
    <x v="12"/>
    <d v="2023-09-27T00:00:00"/>
    <x v="9"/>
    <n v="2"/>
    <n v="55"/>
    <n v="10"/>
    <n v="550"/>
    <n v="73.33"/>
    <x v="1"/>
    <x v="0"/>
  </r>
  <r>
    <x v="12"/>
    <d v="2023-09-27T00:00:00"/>
    <x v="9"/>
    <n v="3"/>
    <n v="65"/>
    <n v="10"/>
    <n v="650"/>
    <n v="86.67"/>
    <x v="1"/>
    <x v="0"/>
  </r>
  <r>
    <x v="12"/>
    <d v="2023-09-27T00:00:00"/>
    <x v="2"/>
    <n v="1"/>
    <n v="95"/>
    <n v="10"/>
    <n v="950"/>
    <n v="126.67"/>
    <x v="1"/>
    <x v="0"/>
  </r>
  <r>
    <x v="12"/>
    <d v="2023-09-27T00:00:00"/>
    <x v="2"/>
    <n v="2"/>
    <n v="115"/>
    <n v="10"/>
    <n v="1150"/>
    <n v="153.33000000000001"/>
    <x v="1"/>
    <x v="0"/>
  </r>
  <r>
    <x v="12"/>
    <d v="2023-09-27T00:00:00"/>
    <x v="2"/>
    <n v="3"/>
    <n v="115"/>
    <n v="10"/>
    <n v="1150"/>
    <n v="153.33000000000001"/>
    <x v="1"/>
    <x v="0"/>
  </r>
  <r>
    <x v="13"/>
    <d v="2023-09-28T00:00:00"/>
    <x v="3"/>
    <n v="1"/>
    <n v="45"/>
    <n v="12"/>
    <n v="540"/>
    <n v="63"/>
    <x v="2"/>
    <x v="0"/>
  </r>
  <r>
    <x v="13"/>
    <d v="2023-09-28T00:00:00"/>
    <x v="3"/>
    <n v="2"/>
    <n v="75"/>
    <n v="12"/>
    <n v="900"/>
    <n v="105"/>
    <x v="2"/>
    <x v="0"/>
  </r>
  <r>
    <x v="13"/>
    <d v="2023-09-28T00:00:00"/>
    <x v="3"/>
    <n v="3"/>
    <n v="95"/>
    <n v="10"/>
    <n v="950"/>
    <n v="126.67"/>
    <x v="2"/>
    <x v="0"/>
  </r>
  <r>
    <x v="13"/>
    <d v="2023-09-28T00:00:00"/>
    <x v="3"/>
    <n v="4"/>
    <n v="105"/>
    <n v="10"/>
    <n v="1050"/>
    <n v="140"/>
    <x v="2"/>
    <x v="0"/>
  </r>
  <r>
    <x v="13"/>
    <d v="2023-09-28T00:00:00"/>
    <x v="3"/>
    <n v="5"/>
    <n v="105"/>
    <n v="10"/>
    <n v="1050"/>
    <n v="140"/>
    <x v="2"/>
    <x v="0"/>
  </r>
  <r>
    <x v="13"/>
    <d v="2023-09-28T00:00:00"/>
    <x v="4"/>
    <n v="1"/>
    <n v="45"/>
    <n v="15"/>
    <n v="675"/>
    <n v="67.5"/>
    <x v="2"/>
    <x v="1"/>
  </r>
  <r>
    <x v="13"/>
    <d v="2023-09-28T00:00:00"/>
    <x v="4"/>
    <n v="2"/>
    <n v="50"/>
    <n v="14"/>
    <n v="700"/>
    <n v="73.33"/>
    <x v="2"/>
    <x v="1"/>
  </r>
  <r>
    <x v="13"/>
    <d v="2023-09-28T00:00:00"/>
    <x v="4"/>
    <n v="3"/>
    <n v="45"/>
    <n v="14"/>
    <n v="630"/>
    <n v="66"/>
    <x v="2"/>
    <x v="1"/>
  </r>
  <r>
    <x v="13"/>
    <d v="2023-09-28T00:00:00"/>
    <x v="5"/>
    <n v="1"/>
    <n v="55"/>
    <n v="12"/>
    <n v="660"/>
    <n v="77"/>
    <x v="2"/>
    <x v="0"/>
  </r>
  <r>
    <x v="13"/>
    <d v="2023-09-28T00:00:00"/>
    <x v="5"/>
    <n v="2"/>
    <n v="60"/>
    <n v="8"/>
    <n v="480"/>
    <n v="76"/>
    <x v="2"/>
    <x v="0"/>
  </r>
  <r>
    <x v="13"/>
    <d v="2023-09-28T00:00:00"/>
    <x v="5"/>
    <n v="3"/>
    <n v="60"/>
    <n v="8"/>
    <n v="480"/>
    <n v="76"/>
    <x v="2"/>
    <x v="0"/>
  </r>
  <r>
    <x v="13"/>
    <d v="2023-09-28T00:00:00"/>
    <x v="5"/>
    <n v="4"/>
    <n v="60"/>
    <n v="5"/>
    <n v="300"/>
    <n v="70"/>
    <x v="2"/>
    <x v="0"/>
  </r>
  <r>
    <x v="13"/>
    <d v="2023-09-28T00:00:00"/>
    <x v="6"/>
    <n v="1"/>
    <n v="2"/>
    <n v="20"/>
    <n v="40"/>
    <n v="3.33"/>
    <x v="2"/>
    <x v="1"/>
  </r>
  <r>
    <x v="13"/>
    <d v="2023-09-28T00:00:00"/>
    <x v="6"/>
    <n v="2"/>
    <n v="5"/>
    <n v="20"/>
    <n v="100"/>
    <n v="8.33"/>
    <x v="2"/>
    <x v="1"/>
  </r>
  <r>
    <x v="13"/>
    <d v="2023-09-28T00:00:00"/>
    <x v="6"/>
    <n v="3"/>
    <n v="10"/>
    <n v="10"/>
    <n v="100"/>
    <n v="13.33"/>
    <x v="2"/>
    <x v="1"/>
  </r>
  <r>
    <x v="13"/>
    <d v="2023-09-28T00:00:00"/>
    <x v="6"/>
    <n v="4"/>
    <n v="5"/>
    <n v="20"/>
    <n v="100"/>
    <n v="8.33"/>
    <x v="2"/>
    <x v="1"/>
  </r>
  <r>
    <x v="14"/>
    <d v="2023-09-29T00:00:00"/>
    <x v="0"/>
    <n v="1"/>
    <n v="70"/>
    <n v="15"/>
    <n v="1050"/>
    <n v="105"/>
    <x v="0"/>
    <x v="0"/>
  </r>
  <r>
    <x v="14"/>
    <d v="2023-09-29T00:00:00"/>
    <x v="0"/>
    <n v="2"/>
    <n v="80"/>
    <n v="13"/>
    <n v="1040"/>
    <n v="114.67"/>
    <x v="0"/>
    <x v="0"/>
  </r>
  <r>
    <x v="14"/>
    <d v="2023-09-29T00:00:00"/>
    <x v="0"/>
    <n v="3"/>
    <n v="95"/>
    <n v="12"/>
    <n v="1140"/>
    <n v="133"/>
    <x v="0"/>
    <x v="0"/>
  </r>
  <r>
    <x v="14"/>
    <d v="2023-09-29T00:00:00"/>
    <x v="1"/>
    <n v="1"/>
    <n v="55"/>
    <n v="15"/>
    <n v="825"/>
    <n v="82.5"/>
    <x v="0"/>
    <x v="1"/>
  </r>
  <r>
    <x v="14"/>
    <d v="2023-09-29T00:00:00"/>
    <x v="1"/>
    <n v="2"/>
    <n v="55"/>
    <n v="9"/>
    <n v="495"/>
    <n v="71.5"/>
    <x v="0"/>
    <x v="1"/>
  </r>
  <r>
    <x v="14"/>
    <d v="2023-09-29T00:00:00"/>
    <x v="1"/>
    <n v="3"/>
    <n v="50"/>
    <n v="12"/>
    <n v="600"/>
    <n v="70"/>
    <x v="0"/>
    <x v="1"/>
  </r>
  <r>
    <x v="14"/>
    <d v="2023-09-29T00:00:00"/>
    <x v="1"/>
    <n v="4"/>
    <n v="50"/>
    <n v="10"/>
    <n v="500"/>
    <n v="66.67"/>
    <x v="0"/>
    <x v="1"/>
  </r>
  <r>
    <x v="15"/>
    <d v="2023-10-01T00:00:00"/>
    <x v="7"/>
    <n v="1"/>
    <n v="95"/>
    <n v="10"/>
    <n v="950"/>
    <n v="126.67"/>
    <x v="1"/>
    <x v="1"/>
  </r>
  <r>
    <x v="15"/>
    <d v="2023-10-01T00:00:00"/>
    <x v="7"/>
    <n v="2"/>
    <n v="115"/>
    <n v="12"/>
    <n v="1380"/>
    <n v="161"/>
    <x v="1"/>
    <x v="1"/>
  </r>
  <r>
    <x v="15"/>
    <d v="2023-10-01T00:00:00"/>
    <x v="7"/>
    <n v="3"/>
    <n v="125"/>
    <n v="10"/>
    <n v="1250"/>
    <n v="166.67"/>
    <x v="1"/>
    <x v="1"/>
  </r>
  <r>
    <x v="15"/>
    <d v="2023-10-01T00:00:00"/>
    <x v="9"/>
    <n v="1"/>
    <n v="45"/>
    <n v="12"/>
    <n v="540"/>
    <n v="63"/>
    <x v="1"/>
    <x v="0"/>
  </r>
  <r>
    <x v="15"/>
    <d v="2023-10-01T00:00:00"/>
    <x v="9"/>
    <n v="2"/>
    <n v="65"/>
    <n v="12"/>
    <n v="780"/>
    <n v="91"/>
    <x v="1"/>
    <x v="0"/>
  </r>
  <r>
    <x v="15"/>
    <d v="2023-10-01T00:00:00"/>
    <x v="9"/>
    <n v="3"/>
    <n v="65"/>
    <n v="12"/>
    <n v="780"/>
    <n v="91"/>
    <x v="1"/>
    <x v="0"/>
  </r>
  <r>
    <x v="15"/>
    <d v="2023-10-01T00:00:00"/>
    <x v="2"/>
    <n v="1"/>
    <n v="95"/>
    <n v="10"/>
    <n v="950"/>
    <n v="126.67"/>
    <x v="1"/>
    <x v="0"/>
  </r>
  <r>
    <x v="15"/>
    <d v="2023-10-01T00:00:00"/>
    <x v="2"/>
    <n v="2"/>
    <n v="125"/>
    <n v="10"/>
    <n v="1250"/>
    <n v="166.67"/>
    <x v="1"/>
    <x v="0"/>
  </r>
  <r>
    <x v="15"/>
    <d v="2023-10-01T00:00:00"/>
    <x v="2"/>
    <n v="3"/>
    <n v="125"/>
    <n v="10"/>
    <n v="1250"/>
    <n v="166.67"/>
    <x v="1"/>
    <x v="0"/>
  </r>
  <r>
    <x v="16"/>
    <d v="2023-10-02T00:00:00"/>
    <x v="3"/>
    <n v="1"/>
    <n v="95"/>
    <n v="10"/>
    <n v="950"/>
    <n v="126.67"/>
    <x v="2"/>
    <x v="0"/>
  </r>
  <r>
    <x v="16"/>
    <d v="2023-10-02T00:00:00"/>
    <x v="3"/>
    <n v="2"/>
    <n v="95"/>
    <n v="10"/>
    <n v="950"/>
    <n v="126.67"/>
    <x v="2"/>
    <x v="0"/>
  </r>
  <r>
    <x v="16"/>
    <d v="2023-10-02T00:00:00"/>
    <x v="3"/>
    <n v="3"/>
    <n v="105"/>
    <n v="8"/>
    <n v="840"/>
    <n v="133"/>
    <x v="2"/>
    <x v="0"/>
  </r>
  <r>
    <x v="16"/>
    <d v="2023-10-02T00:00:00"/>
    <x v="10"/>
    <n v="1"/>
    <n v="45"/>
    <n v="15"/>
    <n v="675"/>
    <n v="67.5"/>
    <x v="2"/>
    <x v="1"/>
  </r>
  <r>
    <x v="16"/>
    <d v="2023-10-02T00:00:00"/>
    <x v="10"/>
    <n v="2"/>
    <n v="65"/>
    <n v="12"/>
    <n v="780"/>
    <n v="91"/>
    <x v="2"/>
    <x v="1"/>
  </r>
  <r>
    <x v="16"/>
    <d v="2023-10-02T00:00:00"/>
    <x v="10"/>
    <n v="3"/>
    <n v="75"/>
    <n v="12"/>
    <n v="900"/>
    <n v="105"/>
    <x v="2"/>
    <x v="1"/>
  </r>
  <r>
    <x v="16"/>
    <d v="2023-10-02T00:00:00"/>
    <x v="4"/>
    <n v="1"/>
    <n v="45"/>
    <n v="15"/>
    <n v="675"/>
    <n v="67.5"/>
    <x v="2"/>
    <x v="1"/>
  </r>
  <r>
    <x v="16"/>
    <d v="2023-10-02T00:00:00"/>
    <x v="4"/>
    <n v="2"/>
    <n v="50"/>
    <n v="13"/>
    <n v="650"/>
    <n v="71.67"/>
    <x v="2"/>
    <x v="1"/>
  </r>
  <r>
    <x v="16"/>
    <d v="2023-10-02T00:00:00"/>
    <x v="4"/>
    <n v="3"/>
    <n v="55"/>
    <n v="7"/>
    <n v="385"/>
    <n v="67.83"/>
    <x v="2"/>
    <x v="1"/>
  </r>
  <r>
    <x v="16"/>
    <d v="2023-10-02T00:00:00"/>
    <x v="5"/>
    <n v="1"/>
    <n v="65"/>
    <n v="10"/>
    <n v="650"/>
    <n v="86.67"/>
    <x v="2"/>
    <x v="0"/>
  </r>
  <r>
    <x v="16"/>
    <d v="2023-10-02T00:00:00"/>
    <x v="5"/>
    <n v="2"/>
    <n v="60"/>
    <n v="10"/>
    <n v="600"/>
    <n v="80"/>
    <x v="2"/>
    <x v="0"/>
  </r>
  <r>
    <x v="16"/>
    <d v="2023-10-02T00:00:00"/>
    <x v="5"/>
    <n v="3"/>
    <n v="55"/>
    <n v="8"/>
    <n v="440"/>
    <n v="69.67"/>
    <x v="2"/>
    <x v="0"/>
  </r>
  <r>
    <x v="16"/>
    <d v="2023-10-02T00:00:00"/>
    <x v="5"/>
    <n v="4"/>
    <n v="55"/>
    <n v="8"/>
    <n v="440"/>
    <n v="69.67"/>
    <x v="2"/>
    <x v="0"/>
  </r>
  <r>
    <x v="16"/>
    <d v="2023-10-02T00:00:00"/>
    <x v="6"/>
    <n v="1"/>
    <n v="5"/>
    <n v="20"/>
    <n v="100"/>
    <n v="8.33"/>
    <x v="2"/>
    <x v="1"/>
  </r>
  <r>
    <x v="16"/>
    <d v="2023-10-02T00:00:00"/>
    <x v="6"/>
    <n v="2"/>
    <n v="5"/>
    <n v="20"/>
    <n v="100"/>
    <n v="8.33"/>
    <x v="2"/>
    <x v="1"/>
  </r>
  <r>
    <x v="16"/>
    <d v="2023-10-02T00:00:00"/>
    <x v="6"/>
    <n v="3"/>
    <n v="10"/>
    <n v="12"/>
    <n v="120"/>
    <n v="14"/>
    <x v="2"/>
    <x v="1"/>
  </r>
  <r>
    <x v="16"/>
    <d v="2023-10-02T00:00:00"/>
    <x v="6"/>
    <n v="4"/>
    <n v="5"/>
    <n v="8"/>
    <n v="40"/>
    <n v="6.33"/>
    <x v="2"/>
    <x v="1"/>
  </r>
  <r>
    <x v="16"/>
    <d v="2023-10-02T00:00:00"/>
    <x v="6"/>
    <n v="5"/>
    <n v="5"/>
    <n v="20"/>
    <n v="100"/>
    <n v="8.33"/>
    <x v="2"/>
    <x v="1"/>
  </r>
  <r>
    <x v="17"/>
    <d v="2023-10-03T00:00:00"/>
    <x v="0"/>
    <n v="1"/>
    <n v="80"/>
    <n v="15"/>
    <n v="1200"/>
    <n v="120"/>
    <x v="0"/>
    <x v="0"/>
  </r>
  <r>
    <x v="17"/>
    <d v="2023-10-03T00:00:00"/>
    <x v="0"/>
    <n v="2"/>
    <n v="95"/>
    <n v="9"/>
    <n v="855"/>
    <n v="123.5"/>
    <x v="0"/>
    <x v="0"/>
  </r>
  <r>
    <x v="17"/>
    <d v="2023-10-03T00:00:00"/>
    <x v="0"/>
    <n v="3"/>
    <n v="95"/>
    <n v="10"/>
    <n v="950"/>
    <n v="126.67"/>
    <x v="0"/>
    <x v="0"/>
  </r>
  <r>
    <x v="17"/>
    <d v="2023-10-03T00:00:00"/>
    <x v="0"/>
    <n v="4"/>
    <n v="70"/>
    <n v="10"/>
    <n v="700"/>
    <n v="93.33"/>
    <x v="0"/>
    <x v="0"/>
  </r>
  <r>
    <x v="17"/>
    <d v="2023-10-03T00:00:00"/>
    <x v="1"/>
    <n v="1"/>
    <n v="50"/>
    <n v="15"/>
    <n v="750"/>
    <n v="75"/>
    <x v="0"/>
    <x v="1"/>
  </r>
  <r>
    <x v="17"/>
    <d v="2023-10-03T00:00:00"/>
    <x v="1"/>
    <n v="2"/>
    <n v="55"/>
    <n v="10"/>
    <n v="550"/>
    <n v="73.33"/>
    <x v="0"/>
    <x v="1"/>
  </r>
  <r>
    <x v="17"/>
    <d v="2023-10-03T00:00:00"/>
    <x v="1"/>
    <n v="3"/>
    <n v="55"/>
    <n v="10"/>
    <n v="550"/>
    <n v="73.33"/>
    <x v="0"/>
    <x v="1"/>
  </r>
  <r>
    <x v="17"/>
    <d v="2023-10-03T00:00:00"/>
    <x v="1"/>
    <n v="4"/>
    <n v="55"/>
    <n v="10"/>
    <n v="550"/>
    <n v="73.33"/>
    <x v="0"/>
    <x v="1"/>
  </r>
  <r>
    <x v="18"/>
    <d v="2023-10-04T00:00:00"/>
    <x v="7"/>
    <n v="1"/>
    <n v="95"/>
    <n v="12"/>
    <n v="1140"/>
    <n v="133"/>
    <x v="1"/>
    <x v="1"/>
  </r>
  <r>
    <x v="18"/>
    <d v="2023-10-04T00:00:00"/>
    <x v="7"/>
    <n v="2"/>
    <n v="135"/>
    <n v="10"/>
    <n v="1350"/>
    <n v="180"/>
    <x v="1"/>
    <x v="1"/>
  </r>
  <r>
    <x v="18"/>
    <d v="2023-10-04T00:00:00"/>
    <x v="7"/>
    <n v="3"/>
    <n v="135"/>
    <n v="8"/>
    <n v="1080"/>
    <n v="171"/>
    <x v="1"/>
    <x v="1"/>
  </r>
  <r>
    <x v="18"/>
    <d v="2023-10-04T00:00:00"/>
    <x v="9"/>
    <n v="1"/>
    <n v="45"/>
    <n v="12"/>
    <n v="540"/>
    <n v="63"/>
    <x v="1"/>
    <x v="0"/>
  </r>
  <r>
    <x v="18"/>
    <d v="2023-10-04T00:00:00"/>
    <x v="9"/>
    <n v="2"/>
    <n v="65"/>
    <n v="12"/>
    <n v="780"/>
    <n v="91"/>
    <x v="1"/>
    <x v="0"/>
  </r>
  <r>
    <x v="18"/>
    <d v="2023-10-04T00:00:00"/>
    <x v="9"/>
    <n v="3"/>
    <n v="70"/>
    <n v="13"/>
    <n v="910"/>
    <n v="100.33"/>
    <x v="1"/>
    <x v="0"/>
  </r>
  <r>
    <x v="18"/>
    <d v="2023-10-04T00:00:00"/>
    <x v="2"/>
    <n v="1"/>
    <n v="115"/>
    <n v="12"/>
    <n v="1380"/>
    <n v="161"/>
    <x v="1"/>
    <x v="0"/>
  </r>
  <r>
    <x v="18"/>
    <d v="2023-10-04T00:00:00"/>
    <x v="2"/>
    <n v="2"/>
    <n v="125"/>
    <n v="12"/>
    <n v="1500"/>
    <n v="175"/>
    <x v="1"/>
    <x v="0"/>
  </r>
  <r>
    <x v="18"/>
    <d v="2023-10-04T00:00:00"/>
    <x v="2"/>
    <n v="3"/>
    <n v="125"/>
    <n v="12"/>
    <n v="1500"/>
    <n v="175"/>
    <x v="1"/>
    <x v="0"/>
  </r>
  <r>
    <x v="19"/>
    <d v="2023-10-05T00:00:00"/>
    <x v="3"/>
    <n v="1"/>
    <n v="95"/>
    <n v="10"/>
    <n v="950"/>
    <n v="126.67"/>
    <x v="2"/>
    <x v="0"/>
  </r>
  <r>
    <x v="19"/>
    <d v="2023-10-05T00:00:00"/>
    <x v="3"/>
    <n v="2"/>
    <n v="105"/>
    <n v="8"/>
    <n v="840"/>
    <n v="133"/>
    <x v="2"/>
    <x v="0"/>
  </r>
  <r>
    <x v="19"/>
    <d v="2023-10-05T00:00:00"/>
    <x v="3"/>
    <n v="3"/>
    <n v="110"/>
    <n v="7"/>
    <n v="770"/>
    <n v="135.66999999999999"/>
    <x v="2"/>
    <x v="0"/>
  </r>
  <r>
    <x v="19"/>
    <d v="2023-10-05T00:00:00"/>
    <x v="10"/>
    <n v="1"/>
    <n v="45"/>
    <n v="12"/>
    <n v="540"/>
    <n v="63"/>
    <x v="2"/>
    <x v="1"/>
  </r>
  <r>
    <x v="19"/>
    <d v="2023-10-05T00:00:00"/>
    <x v="10"/>
    <n v="2"/>
    <n v="75"/>
    <n v="12"/>
    <n v="900"/>
    <n v="105"/>
    <x v="2"/>
    <x v="1"/>
  </r>
  <r>
    <x v="19"/>
    <d v="2023-10-05T00:00:00"/>
    <x v="10"/>
    <n v="3"/>
    <n v="95"/>
    <n v="10"/>
    <n v="950"/>
    <n v="126.67"/>
    <x v="2"/>
    <x v="1"/>
  </r>
  <r>
    <x v="19"/>
    <d v="2023-10-05T00:00:00"/>
    <x v="10"/>
    <n v="4"/>
    <n v="95"/>
    <n v="10"/>
    <n v="950"/>
    <n v="126.67"/>
    <x v="2"/>
    <x v="1"/>
  </r>
  <r>
    <x v="19"/>
    <d v="2023-10-05T00:00:00"/>
    <x v="4"/>
    <n v="1"/>
    <n v="55"/>
    <n v="12"/>
    <n v="660"/>
    <n v="77"/>
    <x v="2"/>
    <x v="1"/>
  </r>
  <r>
    <x v="19"/>
    <d v="2023-10-05T00:00:00"/>
    <x v="4"/>
    <n v="2"/>
    <n v="55"/>
    <n v="11"/>
    <n v="605"/>
    <n v="75.17"/>
    <x v="2"/>
    <x v="1"/>
  </r>
  <r>
    <x v="19"/>
    <d v="2023-10-05T00:00:00"/>
    <x v="4"/>
    <n v="3"/>
    <n v="55"/>
    <n v="10"/>
    <n v="550"/>
    <n v="73.33"/>
    <x v="2"/>
    <x v="1"/>
  </r>
  <r>
    <x v="19"/>
    <d v="2023-10-05T00:00:00"/>
    <x v="5"/>
    <n v="1"/>
    <n v="55"/>
    <n v="8"/>
    <n v="440"/>
    <n v="69.67"/>
    <x v="2"/>
    <x v="0"/>
  </r>
  <r>
    <x v="19"/>
    <d v="2023-10-05T00:00:00"/>
    <x v="5"/>
    <n v="2"/>
    <n v="55"/>
    <n v="10"/>
    <n v="550"/>
    <n v="73.33"/>
    <x v="2"/>
    <x v="0"/>
  </r>
  <r>
    <x v="19"/>
    <d v="2023-10-05T00:00:00"/>
    <x v="5"/>
    <n v="3"/>
    <n v="55"/>
    <n v="10"/>
    <n v="550"/>
    <n v="73.33"/>
    <x v="2"/>
    <x v="0"/>
  </r>
  <r>
    <x v="19"/>
    <d v="2023-10-05T00:00:00"/>
    <x v="6"/>
    <n v="1"/>
    <n v="5"/>
    <n v="20"/>
    <n v="100"/>
    <n v="8.33"/>
    <x v="2"/>
    <x v="1"/>
  </r>
  <r>
    <x v="19"/>
    <d v="2023-10-05T00:00:00"/>
    <x v="6"/>
    <n v="2"/>
    <n v="10"/>
    <n v="15"/>
    <n v="150"/>
    <n v="15"/>
    <x v="2"/>
    <x v="1"/>
  </r>
  <r>
    <x v="19"/>
    <d v="2023-10-05T00:00:00"/>
    <x v="6"/>
    <n v="3"/>
    <n v="5"/>
    <n v="20"/>
    <n v="100"/>
    <n v="8.33"/>
    <x v="2"/>
    <x v="1"/>
  </r>
  <r>
    <x v="19"/>
    <d v="2023-10-05T00:00:00"/>
    <x v="6"/>
    <n v="4"/>
    <n v="10"/>
    <n v="12"/>
    <n v="120"/>
    <n v="14"/>
    <x v="2"/>
    <x v="1"/>
  </r>
  <r>
    <x v="19"/>
    <d v="2023-10-05T00:00:00"/>
    <x v="6"/>
    <n v="5"/>
    <n v="5"/>
    <n v="21"/>
    <n v="105"/>
    <n v="8.5"/>
    <x v="2"/>
    <x v="1"/>
  </r>
  <r>
    <x v="20"/>
    <d v="2023-10-06T00:00:00"/>
    <x v="0"/>
    <n v="1"/>
    <n v="80"/>
    <n v="15"/>
    <n v="1200"/>
    <n v="120"/>
    <x v="0"/>
    <x v="0"/>
  </r>
  <r>
    <x v="20"/>
    <d v="2023-10-06T00:00:00"/>
    <x v="0"/>
    <n v="2"/>
    <n v="95"/>
    <n v="10"/>
    <n v="950"/>
    <n v="126.67"/>
    <x v="0"/>
    <x v="0"/>
  </r>
  <r>
    <x v="20"/>
    <d v="2023-10-06T00:00:00"/>
    <x v="0"/>
    <n v="3"/>
    <n v="105"/>
    <n v="10"/>
    <n v="1050"/>
    <n v="140"/>
    <x v="0"/>
    <x v="0"/>
  </r>
  <r>
    <x v="20"/>
    <d v="2023-10-06T00:00:00"/>
    <x v="0"/>
    <n v="4"/>
    <n v="95"/>
    <n v="10"/>
    <n v="950"/>
    <n v="126.67"/>
    <x v="0"/>
    <x v="0"/>
  </r>
  <r>
    <x v="20"/>
    <d v="2023-10-06T00:00:00"/>
    <x v="1"/>
    <n v="1"/>
    <n v="55"/>
    <n v="15"/>
    <n v="825"/>
    <n v="82.5"/>
    <x v="0"/>
    <x v="1"/>
  </r>
  <r>
    <x v="20"/>
    <d v="2023-10-06T00:00:00"/>
    <x v="1"/>
    <n v="2"/>
    <n v="60"/>
    <n v="12"/>
    <n v="720"/>
    <n v="84"/>
    <x v="0"/>
    <x v="1"/>
  </r>
  <r>
    <x v="20"/>
    <d v="2023-10-06T00:00:00"/>
    <x v="1"/>
    <n v="3"/>
    <n v="60"/>
    <n v="9"/>
    <n v="540"/>
    <n v="78"/>
    <x v="0"/>
    <x v="1"/>
  </r>
  <r>
    <x v="20"/>
    <d v="2023-10-06T00:00:00"/>
    <x v="1"/>
    <n v="4"/>
    <n v="60"/>
    <n v="9"/>
    <n v="540"/>
    <n v="78"/>
    <x v="0"/>
    <x v="1"/>
  </r>
  <r>
    <x v="20"/>
    <d v="2023-10-06T00:00:00"/>
    <x v="8"/>
    <n v="1"/>
    <n v="50"/>
    <n v="15"/>
    <n v="750"/>
    <n v="75"/>
    <x v="0"/>
    <x v="1"/>
  </r>
  <r>
    <x v="20"/>
    <d v="2023-10-06T00:00:00"/>
    <x v="8"/>
    <n v="2"/>
    <n v="70"/>
    <n v="15"/>
    <n v="1050"/>
    <n v="105"/>
    <x v="0"/>
    <x v="1"/>
  </r>
  <r>
    <x v="20"/>
    <d v="2023-10-06T00:00:00"/>
    <x v="8"/>
    <n v="3"/>
    <n v="70"/>
    <n v="10"/>
    <n v="700"/>
    <n v="93.33"/>
    <x v="0"/>
    <x v="1"/>
  </r>
  <r>
    <x v="20"/>
    <d v="2023-10-06T00:00:00"/>
    <x v="8"/>
    <n v="4"/>
    <n v="50"/>
    <n v="12"/>
    <n v="600"/>
    <n v="70"/>
    <x v="0"/>
    <x v="1"/>
  </r>
  <r>
    <x v="21"/>
    <d v="2023-10-09T00:00:00"/>
    <x v="7"/>
    <n v="1"/>
    <n v="100"/>
    <n v="12"/>
    <n v="1200"/>
    <n v="140"/>
    <x v="1"/>
    <x v="1"/>
  </r>
  <r>
    <x v="21"/>
    <d v="2023-10-09T00:00:00"/>
    <x v="7"/>
    <n v="2"/>
    <n v="140"/>
    <n v="10"/>
    <n v="1400"/>
    <n v="186.67"/>
    <x v="1"/>
    <x v="1"/>
  </r>
  <r>
    <x v="21"/>
    <d v="2023-10-09T00:00:00"/>
    <x v="7"/>
    <n v="3"/>
    <n v="140"/>
    <n v="8"/>
    <n v="1120"/>
    <n v="177.33"/>
    <x v="1"/>
    <x v="1"/>
  </r>
  <r>
    <x v="21"/>
    <d v="2023-10-09T00:00:00"/>
    <x v="9"/>
    <n v="1"/>
    <n v="55"/>
    <n v="12"/>
    <n v="660"/>
    <n v="77"/>
    <x v="1"/>
    <x v="0"/>
  </r>
  <r>
    <x v="21"/>
    <d v="2023-10-09T00:00:00"/>
    <x v="9"/>
    <n v="2"/>
    <n v="70"/>
    <n v="12"/>
    <n v="840"/>
    <n v="98"/>
    <x v="1"/>
    <x v="0"/>
  </r>
  <r>
    <x v="21"/>
    <d v="2023-10-09T00:00:00"/>
    <x v="9"/>
    <n v="3"/>
    <n v="80"/>
    <n v="12"/>
    <n v="960"/>
    <n v="112"/>
    <x v="1"/>
    <x v="0"/>
  </r>
  <r>
    <x v="21"/>
    <d v="2023-10-09T00:00:00"/>
    <x v="9"/>
    <n v="4"/>
    <n v="80"/>
    <n v="12"/>
    <n v="960"/>
    <n v="112"/>
    <x v="1"/>
    <x v="0"/>
  </r>
  <r>
    <x v="21"/>
    <d v="2023-10-09T00:00:00"/>
    <x v="2"/>
    <n v="1"/>
    <n v="135"/>
    <n v="10"/>
    <n v="1350"/>
    <n v="180"/>
    <x v="1"/>
    <x v="0"/>
  </r>
  <r>
    <x v="21"/>
    <d v="2023-10-09T00:00:00"/>
    <x v="2"/>
    <n v="2"/>
    <n v="135"/>
    <n v="12"/>
    <n v="1620"/>
    <n v="189"/>
    <x v="1"/>
    <x v="0"/>
  </r>
  <r>
    <x v="21"/>
    <d v="2023-10-09T00:00:00"/>
    <x v="2"/>
    <n v="3"/>
    <n v="135"/>
    <n v="12"/>
    <n v="1620"/>
    <n v="189"/>
    <x v="1"/>
    <x v="0"/>
  </r>
  <r>
    <x v="22"/>
    <d v="2023-10-10T00:00:00"/>
    <x v="3"/>
    <n v="1"/>
    <n v="45"/>
    <n v="10"/>
    <n v="450"/>
    <n v="60"/>
    <x v="2"/>
    <x v="0"/>
  </r>
  <r>
    <x v="22"/>
    <d v="2023-10-10T00:00:00"/>
    <x v="3"/>
    <n v="2"/>
    <n v="70"/>
    <n v="12"/>
    <n v="840"/>
    <n v="98"/>
    <x v="2"/>
    <x v="0"/>
  </r>
  <r>
    <x v="22"/>
    <d v="2023-10-10T00:00:00"/>
    <x v="3"/>
    <n v="3"/>
    <n v="95"/>
    <n v="10"/>
    <n v="950"/>
    <n v="126.67"/>
    <x v="2"/>
    <x v="0"/>
  </r>
  <r>
    <x v="22"/>
    <d v="2023-10-10T00:00:00"/>
    <x v="3"/>
    <n v="4"/>
    <n v="95"/>
    <n v="10"/>
    <n v="950"/>
    <n v="126.67"/>
    <x v="2"/>
    <x v="0"/>
  </r>
  <r>
    <x v="22"/>
    <d v="2023-10-10T00:00:00"/>
    <x v="3"/>
    <n v="5"/>
    <n v="95"/>
    <n v="10"/>
    <n v="950"/>
    <n v="126.67"/>
    <x v="2"/>
    <x v="0"/>
  </r>
  <r>
    <x v="22"/>
    <d v="2023-10-10T00:00:00"/>
    <x v="10"/>
    <n v="1"/>
    <n v="45"/>
    <n v="10"/>
    <n v="450"/>
    <n v="60"/>
    <x v="2"/>
    <x v="1"/>
  </r>
  <r>
    <x v="22"/>
    <d v="2023-10-10T00:00:00"/>
    <x v="10"/>
    <n v="2"/>
    <n v="75"/>
    <n v="10"/>
    <n v="750"/>
    <n v="100"/>
    <x v="2"/>
    <x v="1"/>
  </r>
  <r>
    <x v="22"/>
    <d v="2023-10-10T00:00:00"/>
    <x v="10"/>
    <n v="3"/>
    <n v="75"/>
    <n v="10"/>
    <n v="750"/>
    <n v="100"/>
    <x v="2"/>
    <x v="1"/>
  </r>
  <r>
    <x v="22"/>
    <d v="2023-10-10T00:00:00"/>
    <x v="4"/>
    <n v="1"/>
    <n v="60"/>
    <n v="12"/>
    <n v="720"/>
    <n v="84"/>
    <x v="2"/>
    <x v="1"/>
  </r>
  <r>
    <x v="22"/>
    <d v="2023-10-10T00:00:00"/>
    <x v="4"/>
    <n v="2"/>
    <n v="60"/>
    <n v="10"/>
    <n v="600"/>
    <n v="80"/>
    <x v="2"/>
    <x v="1"/>
  </r>
  <r>
    <x v="22"/>
    <d v="2023-10-10T00:00:00"/>
    <x v="4"/>
    <n v="3"/>
    <n v="60"/>
    <n v="7"/>
    <n v="420"/>
    <n v="74"/>
    <x v="2"/>
    <x v="1"/>
  </r>
  <r>
    <x v="22"/>
    <d v="2023-10-10T00:00:00"/>
    <x v="4"/>
    <n v="4"/>
    <n v="60"/>
    <n v="4"/>
    <n v="240"/>
    <n v="68"/>
    <x v="2"/>
    <x v="1"/>
  </r>
  <r>
    <x v="22"/>
    <d v="2023-10-10T00:00:00"/>
    <x v="5"/>
    <n v="1"/>
    <n v="45"/>
    <n v="12"/>
    <n v="540"/>
    <n v="63"/>
    <x v="2"/>
    <x v="0"/>
  </r>
  <r>
    <x v="22"/>
    <d v="2023-10-10T00:00:00"/>
    <x v="5"/>
    <n v="2"/>
    <n v="65"/>
    <n v="10"/>
    <n v="650"/>
    <n v="86.67"/>
    <x v="2"/>
    <x v="0"/>
  </r>
  <r>
    <x v="22"/>
    <d v="2023-10-10T00:00:00"/>
    <x v="5"/>
    <n v="3"/>
    <n v="65"/>
    <n v="10"/>
    <n v="650"/>
    <n v="86.67"/>
    <x v="2"/>
    <x v="0"/>
  </r>
  <r>
    <x v="22"/>
    <d v="2023-10-10T00:00:00"/>
    <x v="5"/>
    <n v="4"/>
    <n v="65"/>
    <n v="7"/>
    <n v="455"/>
    <n v="80.17"/>
    <x v="2"/>
    <x v="0"/>
  </r>
  <r>
    <x v="22"/>
    <d v="2023-10-10T00:00:00"/>
    <x v="6"/>
    <n v="1"/>
    <n v="5"/>
    <n v="20"/>
    <n v="100"/>
    <n v="8.33"/>
    <x v="2"/>
    <x v="1"/>
  </r>
  <r>
    <x v="22"/>
    <d v="2023-10-10T00:00:00"/>
    <x v="6"/>
    <n v="2"/>
    <n v="10"/>
    <n v="20"/>
    <n v="200"/>
    <n v="16.670000000000002"/>
    <x v="2"/>
    <x v="1"/>
  </r>
  <r>
    <x v="22"/>
    <d v="2023-10-10T00:00:00"/>
    <x v="6"/>
    <n v="3"/>
    <n v="5"/>
    <n v="20"/>
    <n v="100"/>
    <n v="8.33"/>
    <x v="2"/>
    <x v="1"/>
  </r>
  <r>
    <x v="22"/>
    <d v="2023-10-10T00:00:00"/>
    <x v="6"/>
    <n v="4"/>
    <n v="10"/>
    <n v="15"/>
    <n v="150"/>
    <n v="15"/>
    <x v="2"/>
    <x v="1"/>
  </r>
  <r>
    <x v="22"/>
    <d v="2023-10-10T00:00:00"/>
    <x v="6"/>
    <n v="5"/>
    <n v="5"/>
    <n v="21"/>
    <n v="105"/>
    <n v="8.5"/>
    <x v="2"/>
    <x v="1"/>
  </r>
  <r>
    <x v="23"/>
    <d v="2023-10-11T00:00:00"/>
    <x v="0"/>
    <n v="1"/>
    <n v="95"/>
    <n v="10"/>
    <n v="950"/>
    <n v="126.67"/>
    <x v="0"/>
    <x v="0"/>
  </r>
  <r>
    <x v="23"/>
    <d v="2023-10-11T00:00:00"/>
    <x v="0"/>
    <n v="2"/>
    <n v="105"/>
    <n v="10"/>
    <n v="1050"/>
    <n v="140"/>
    <x v="0"/>
    <x v="0"/>
  </r>
  <r>
    <x v="23"/>
    <d v="2023-10-11T00:00:00"/>
    <x v="0"/>
    <n v="3"/>
    <n v="110"/>
    <n v="10"/>
    <n v="1100"/>
    <n v="146.66999999999999"/>
    <x v="0"/>
    <x v="0"/>
  </r>
  <r>
    <x v="23"/>
    <d v="2023-10-11T00:00:00"/>
    <x v="0"/>
    <n v="4"/>
    <n v="95"/>
    <n v="10"/>
    <n v="950"/>
    <n v="126.67"/>
    <x v="0"/>
    <x v="0"/>
  </r>
  <r>
    <x v="23"/>
    <d v="2023-10-11T00:00:00"/>
    <x v="1"/>
    <n v="1"/>
    <n v="60"/>
    <n v="15"/>
    <n v="900"/>
    <n v="90"/>
    <x v="0"/>
    <x v="1"/>
  </r>
  <r>
    <x v="23"/>
    <d v="2023-10-11T00:00:00"/>
    <x v="1"/>
    <n v="2"/>
    <n v="60"/>
    <n v="12"/>
    <n v="720"/>
    <n v="84"/>
    <x v="0"/>
    <x v="1"/>
  </r>
  <r>
    <x v="23"/>
    <d v="2023-10-11T00:00:00"/>
    <x v="1"/>
    <n v="3"/>
    <n v="60"/>
    <n v="10"/>
    <n v="600"/>
    <n v="80"/>
    <x v="0"/>
    <x v="1"/>
  </r>
  <r>
    <x v="23"/>
    <d v="2023-10-11T00:00:00"/>
    <x v="1"/>
    <n v="4"/>
    <n v="60"/>
    <n v="9"/>
    <n v="540"/>
    <n v="78"/>
    <x v="0"/>
    <x v="1"/>
  </r>
  <r>
    <x v="23"/>
    <d v="2023-10-11T00:00:00"/>
    <x v="8"/>
    <n v="1"/>
    <n v="50"/>
    <n v="15"/>
    <n v="750"/>
    <n v="75"/>
    <x v="0"/>
    <x v="1"/>
  </r>
  <r>
    <x v="23"/>
    <d v="2023-10-11T00:00:00"/>
    <x v="8"/>
    <n v="2"/>
    <n v="60"/>
    <n v="15"/>
    <n v="900"/>
    <n v="90"/>
    <x v="0"/>
    <x v="1"/>
  </r>
  <r>
    <x v="23"/>
    <d v="2023-10-11T00:00:00"/>
    <x v="8"/>
    <n v="3"/>
    <n v="165"/>
    <n v="5"/>
    <n v="825"/>
    <n v="192.5"/>
    <x v="0"/>
    <x v="1"/>
  </r>
  <r>
    <x v="23"/>
    <d v="2023-10-11T00:00:00"/>
    <x v="8"/>
    <n v="4"/>
    <n v="165"/>
    <n v="6"/>
    <n v="990"/>
    <n v="198"/>
    <x v="0"/>
    <x v="1"/>
  </r>
  <r>
    <x v="24"/>
    <d v="2023-10-12T00:00:00"/>
    <x v="7"/>
    <n v="1"/>
    <n v="105"/>
    <n v="12"/>
    <n v="1260"/>
    <n v="147"/>
    <x v="1"/>
    <x v="1"/>
  </r>
  <r>
    <x v="24"/>
    <d v="2023-10-12T00:00:00"/>
    <x v="7"/>
    <n v="2"/>
    <n v="145"/>
    <n v="8"/>
    <n v="1160"/>
    <n v="183.67"/>
    <x v="1"/>
    <x v="1"/>
  </r>
  <r>
    <x v="24"/>
    <d v="2023-10-12T00:00:00"/>
    <x v="7"/>
    <n v="3"/>
    <n v="145"/>
    <n v="8"/>
    <n v="1160"/>
    <n v="183.67"/>
    <x v="1"/>
    <x v="1"/>
  </r>
  <r>
    <x v="24"/>
    <d v="2023-10-12T00:00:00"/>
    <x v="9"/>
    <n v="1"/>
    <n v="55"/>
    <n v="15"/>
    <n v="825"/>
    <n v="82.5"/>
    <x v="1"/>
    <x v="0"/>
  </r>
  <r>
    <x v="24"/>
    <d v="2023-10-12T00:00:00"/>
    <x v="9"/>
    <n v="2"/>
    <n v="80"/>
    <n v="12"/>
    <n v="960"/>
    <n v="112"/>
    <x v="1"/>
    <x v="0"/>
  </r>
  <r>
    <x v="24"/>
    <d v="2023-10-12T00:00:00"/>
    <x v="9"/>
    <n v="3"/>
    <n v="95"/>
    <n v="10"/>
    <n v="950"/>
    <n v="126.67"/>
    <x v="1"/>
    <x v="0"/>
  </r>
  <r>
    <x v="24"/>
    <d v="2023-10-12T00:00:00"/>
    <x v="9"/>
    <n v="4"/>
    <n v="95"/>
    <n v="10"/>
    <n v="950"/>
    <n v="126.67"/>
    <x v="1"/>
    <x v="0"/>
  </r>
  <r>
    <x v="24"/>
    <d v="2023-10-12T00:00:00"/>
    <x v="2"/>
    <n v="1"/>
    <n v="135"/>
    <n v="10"/>
    <n v="1350"/>
    <n v="180"/>
    <x v="1"/>
    <x v="0"/>
  </r>
  <r>
    <x v="24"/>
    <d v="2023-10-12T00:00:00"/>
    <x v="2"/>
    <n v="2"/>
    <n v="140"/>
    <n v="12"/>
    <n v="1680"/>
    <n v="196"/>
    <x v="1"/>
    <x v="0"/>
  </r>
  <r>
    <x v="24"/>
    <d v="2023-10-12T00:00:00"/>
    <x v="2"/>
    <n v="3"/>
    <n v="140"/>
    <n v="12"/>
    <n v="1680"/>
    <n v="196"/>
    <x v="1"/>
    <x v="0"/>
  </r>
  <r>
    <x v="25"/>
    <d v="2023-10-18T00:00:00"/>
    <x v="7"/>
    <n v="1"/>
    <n v="135"/>
    <n v="10"/>
    <n v="1350"/>
    <n v="180"/>
    <x v="1"/>
    <x v="1"/>
  </r>
  <r>
    <x v="25"/>
    <d v="2023-10-18T00:00:00"/>
    <x v="7"/>
    <n v="2"/>
    <n v="150"/>
    <n v="10"/>
    <n v="1500"/>
    <n v="200"/>
    <x v="1"/>
    <x v="1"/>
  </r>
  <r>
    <x v="25"/>
    <d v="2023-10-18T00:00:00"/>
    <x v="7"/>
    <n v="3"/>
    <n v="150"/>
    <n v="8"/>
    <n v="1200"/>
    <n v="190"/>
    <x v="1"/>
    <x v="1"/>
  </r>
  <r>
    <x v="25"/>
    <d v="2023-10-18T00:00:00"/>
    <x v="9"/>
    <n v="1"/>
    <n v="60"/>
    <n v="12"/>
    <n v="720"/>
    <n v="84"/>
    <x v="1"/>
    <x v="0"/>
  </r>
  <r>
    <x v="25"/>
    <d v="2023-10-18T00:00:00"/>
    <x v="9"/>
    <n v="2"/>
    <n v="60"/>
    <n v="6"/>
    <n v="360"/>
    <n v="72"/>
    <x v="1"/>
    <x v="0"/>
  </r>
  <r>
    <x v="25"/>
    <d v="2023-10-18T00:00:00"/>
    <x v="9"/>
    <n v="3"/>
    <n v="80"/>
    <n v="12"/>
    <n v="960"/>
    <n v="112"/>
    <x v="1"/>
    <x v="0"/>
  </r>
  <r>
    <x v="25"/>
    <d v="2023-10-18T00:00:00"/>
    <x v="9"/>
    <n v="4"/>
    <n v="100"/>
    <n v="10"/>
    <n v="1000"/>
    <n v="133.33000000000001"/>
    <x v="1"/>
    <x v="0"/>
  </r>
  <r>
    <x v="25"/>
    <d v="2023-10-18T00:00:00"/>
    <x v="9"/>
    <n v="5"/>
    <n v="100"/>
    <n v="10"/>
    <n v="1000"/>
    <n v="133.33000000000001"/>
    <x v="1"/>
    <x v="0"/>
  </r>
  <r>
    <x v="25"/>
    <d v="2023-10-18T00:00:00"/>
    <x v="2"/>
    <n v="1"/>
    <n v="145"/>
    <n v="10"/>
    <n v="1450"/>
    <n v="193.33"/>
    <x v="1"/>
    <x v="0"/>
  </r>
  <r>
    <x v="25"/>
    <d v="2023-10-18T00:00:00"/>
    <x v="2"/>
    <n v="2"/>
    <n v="145"/>
    <n v="12"/>
    <n v="1740"/>
    <n v="203"/>
    <x v="1"/>
    <x v="0"/>
  </r>
  <r>
    <x v="25"/>
    <d v="2023-10-18T00:00:00"/>
    <x v="2"/>
    <n v="3"/>
    <n v="145"/>
    <n v="12"/>
    <n v="1740"/>
    <n v="203"/>
    <x v="1"/>
    <x v="0"/>
  </r>
  <r>
    <x v="26"/>
    <d v="2023-10-19T00:00:00"/>
    <x v="3"/>
    <n v="1"/>
    <n v="45"/>
    <n v="12"/>
    <n v="540"/>
    <n v="63"/>
    <x v="2"/>
    <x v="0"/>
  </r>
  <r>
    <x v="26"/>
    <d v="2023-10-19T00:00:00"/>
    <x v="3"/>
    <n v="2"/>
    <n v="95"/>
    <n v="12"/>
    <n v="1140"/>
    <n v="133"/>
    <x v="2"/>
    <x v="0"/>
  </r>
  <r>
    <x v="26"/>
    <d v="2023-10-19T00:00:00"/>
    <x v="3"/>
    <n v="3"/>
    <n v="115"/>
    <n v="10"/>
    <n v="1150"/>
    <n v="153.33000000000001"/>
    <x v="2"/>
    <x v="0"/>
  </r>
  <r>
    <x v="26"/>
    <d v="2023-10-19T00:00:00"/>
    <x v="3"/>
    <n v="4"/>
    <n v="130"/>
    <n v="6"/>
    <n v="780"/>
    <n v="156"/>
    <x v="2"/>
    <x v="0"/>
  </r>
  <r>
    <x v="26"/>
    <d v="2023-10-19T00:00:00"/>
    <x v="3"/>
    <n v="5"/>
    <n v="115"/>
    <n v="10"/>
    <n v="1150"/>
    <n v="153.33000000000001"/>
    <x v="2"/>
    <x v="0"/>
  </r>
  <r>
    <x v="26"/>
    <d v="2023-10-19T00:00:00"/>
    <x v="3"/>
    <n v="6"/>
    <n v="95"/>
    <n v="10"/>
    <n v="950"/>
    <n v="126.67"/>
    <x v="2"/>
    <x v="0"/>
  </r>
  <r>
    <x v="26"/>
    <d v="2023-10-19T00:00:00"/>
    <x v="4"/>
    <n v="1"/>
    <n v="55"/>
    <n v="15"/>
    <n v="825"/>
    <n v="82.5"/>
    <x v="2"/>
    <x v="1"/>
  </r>
  <r>
    <x v="26"/>
    <d v="2023-10-19T00:00:00"/>
    <x v="4"/>
    <n v="2"/>
    <n v="60"/>
    <n v="10"/>
    <n v="600"/>
    <n v="80"/>
    <x v="2"/>
    <x v="1"/>
  </r>
  <r>
    <x v="26"/>
    <d v="2023-10-19T00:00:00"/>
    <x v="4"/>
    <n v="3"/>
    <n v="60"/>
    <n v="8"/>
    <n v="480"/>
    <n v="76"/>
    <x v="2"/>
    <x v="1"/>
  </r>
  <r>
    <x v="26"/>
    <d v="2023-10-19T00:00:00"/>
    <x v="4"/>
    <n v="4"/>
    <n v="60"/>
    <n v="6"/>
    <n v="360"/>
    <n v="72"/>
    <x v="2"/>
    <x v="1"/>
  </r>
  <r>
    <x v="26"/>
    <d v="2023-10-19T00:00:00"/>
    <x v="4"/>
    <n v="5"/>
    <n v="55"/>
    <n v="8"/>
    <n v="440"/>
    <n v="69.67"/>
    <x v="2"/>
    <x v="1"/>
  </r>
  <r>
    <x v="26"/>
    <d v="2023-10-19T00:00:00"/>
    <x v="5"/>
    <n v="1"/>
    <n v="45"/>
    <n v="10"/>
    <n v="450"/>
    <n v="60"/>
    <x v="2"/>
    <x v="0"/>
  </r>
  <r>
    <x v="26"/>
    <d v="2023-10-19T00:00:00"/>
    <x v="5"/>
    <n v="2"/>
    <n v="65"/>
    <n v="10"/>
    <n v="650"/>
    <n v="86.67"/>
    <x v="2"/>
    <x v="0"/>
  </r>
  <r>
    <x v="26"/>
    <d v="2023-10-19T00:00:00"/>
    <x v="5"/>
    <n v="3"/>
    <n v="70"/>
    <n v="8"/>
    <n v="560"/>
    <n v="88.67"/>
    <x v="2"/>
    <x v="0"/>
  </r>
  <r>
    <x v="26"/>
    <d v="2023-10-19T00:00:00"/>
    <x v="5"/>
    <n v="4"/>
    <n v="70"/>
    <n v="6"/>
    <n v="420"/>
    <n v="84"/>
    <x v="2"/>
    <x v="0"/>
  </r>
  <r>
    <x v="26"/>
    <d v="2023-10-19T00:00:00"/>
    <x v="5"/>
    <n v="5"/>
    <n v="65"/>
    <n v="8"/>
    <n v="520"/>
    <n v="82.33"/>
    <x v="2"/>
    <x v="0"/>
  </r>
  <r>
    <x v="26"/>
    <d v="2023-10-19T00:00:00"/>
    <x v="6"/>
    <n v="1"/>
    <n v="5"/>
    <n v="20"/>
    <n v="100"/>
    <n v="8.33"/>
    <x v="2"/>
    <x v="1"/>
  </r>
  <r>
    <x v="26"/>
    <d v="2023-10-19T00:00:00"/>
    <x v="6"/>
    <n v="2"/>
    <n v="10"/>
    <n v="18"/>
    <n v="180"/>
    <n v="16"/>
    <x v="2"/>
    <x v="1"/>
  </r>
  <r>
    <x v="26"/>
    <d v="2023-10-19T00:00:00"/>
    <x v="6"/>
    <n v="3"/>
    <n v="5"/>
    <n v="20"/>
    <n v="100"/>
    <n v="8.33"/>
    <x v="2"/>
    <x v="1"/>
  </r>
  <r>
    <x v="26"/>
    <d v="2023-10-19T00:00:00"/>
    <x v="6"/>
    <n v="4"/>
    <n v="10"/>
    <n v="14"/>
    <n v="140"/>
    <n v="14.67"/>
    <x v="2"/>
    <x v="1"/>
  </r>
  <r>
    <x v="26"/>
    <d v="2023-10-19T00:00:00"/>
    <x v="6"/>
    <n v="5"/>
    <n v="5"/>
    <n v="20"/>
    <n v="100"/>
    <n v="8.33"/>
    <x v="2"/>
    <x v="1"/>
  </r>
  <r>
    <x v="27"/>
    <d v="2023-10-21T00:00:00"/>
    <x v="7"/>
    <n v="1"/>
    <n v="150"/>
    <n v="10"/>
    <n v="1500"/>
    <n v="200"/>
    <x v="1"/>
    <x v="1"/>
  </r>
  <r>
    <x v="27"/>
    <d v="2023-10-21T00:00:00"/>
    <x v="7"/>
    <n v="2"/>
    <n v="155"/>
    <n v="10"/>
    <n v="1550"/>
    <n v="206.67"/>
    <x v="1"/>
    <x v="1"/>
  </r>
  <r>
    <x v="27"/>
    <d v="2023-10-21T00:00:00"/>
    <x v="9"/>
    <n v="1"/>
    <n v="65"/>
    <n v="15"/>
    <n v="975"/>
    <n v="97.5"/>
    <x v="1"/>
    <x v="0"/>
  </r>
  <r>
    <x v="27"/>
    <d v="2023-10-21T00:00:00"/>
    <x v="9"/>
    <n v="2"/>
    <n v="95"/>
    <n v="12"/>
    <n v="1140"/>
    <n v="133"/>
    <x v="1"/>
    <x v="0"/>
  </r>
  <r>
    <x v="27"/>
    <d v="2023-10-21T00:00:00"/>
    <x v="9"/>
    <n v="3"/>
    <n v="105"/>
    <n v="9"/>
    <n v="945"/>
    <n v="136.5"/>
    <x v="1"/>
    <x v="0"/>
  </r>
  <r>
    <x v="27"/>
    <d v="2023-10-21T00:00:00"/>
    <x v="9"/>
    <n v="4"/>
    <n v="105"/>
    <n v="11"/>
    <n v="1155"/>
    <n v="143.5"/>
    <x v="1"/>
    <x v="0"/>
  </r>
  <r>
    <x v="27"/>
    <d v="2023-10-21T00:00:00"/>
    <x v="9"/>
    <n v="5"/>
    <n v="95"/>
    <n v="10"/>
    <n v="950"/>
    <n v="126.67"/>
    <x v="1"/>
    <x v="0"/>
  </r>
  <r>
    <x v="27"/>
    <d v="2023-10-21T00:00:00"/>
    <x v="2"/>
    <n v="1"/>
    <n v="150"/>
    <n v="10"/>
    <n v="1500"/>
    <n v="200"/>
    <x v="1"/>
    <x v="0"/>
  </r>
  <r>
    <x v="27"/>
    <d v="2023-10-21T00:00:00"/>
    <x v="2"/>
    <n v="2"/>
    <n v="150"/>
    <n v="12"/>
    <n v="1800"/>
    <n v="210"/>
    <x v="1"/>
    <x v="0"/>
  </r>
  <r>
    <x v="27"/>
    <d v="2023-10-21T00:00:00"/>
    <x v="2"/>
    <n v="3"/>
    <n v="150"/>
    <n v="12"/>
    <n v="1800"/>
    <n v="210"/>
    <x v="1"/>
    <x v="0"/>
  </r>
  <r>
    <x v="28"/>
    <d v="2023-10-23T00:00:00"/>
    <x v="3"/>
    <n v="1"/>
    <n v="45"/>
    <n v="12"/>
    <n v="540"/>
    <n v="63"/>
    <x v="2"/>
    <x v="0"/>
  </r>
  <r>
    <x v="28"/>
    <d v="2023-10-23T00:00:00"/>
    <x v="3"/>
    <n v="2"/>
    <n v="95"/>
    <n v="12"/>
    <n v="1140"/>
    <n v="133"/>
    <x v="2"/>
    <x v="0"/>
  </r>
  <r>
    <x v="28"/>
    <d v="2023-10-23T00:00:00"/>
    <x v="3"/>
    <n v="3"/>
    <n v="135"/>
    <n v="6"/>
    <n v="810"/>
    <n v="162"/>
    <x v="2"/>
    <x v="0"/>
  </r>
  <r>
    <x v="28"/>
    <d v="2023-10-23T00:00:00"/>
    <x v="3"/>
    <n v="4"/>
    <n v="120"/>
    <n v="10"/>
    <n v="1200"/>
    <n v="160"/>
    <x v="2"/>
    <x v="0"/>
  </r>
  <r>
    <x v="28"/>
    <d v="2023-10-23T00:00:00"/>
    <x v="3"/>
    <n v="5"/>
    <n v="120"/>
    <n v="8"/>
    <n v="960"/>
    <n v="152"/>
    <x v="2"/>
    <x v="0"/>
  </r>
  <r>
    <x v="28"/>
    <d v="2023-10-23T00:00:00"/>
    <x v="3"/>
    <n v="6"/>
    <n v="95"/>
    <n v="10"/>
    <n v="950"/>
    <n v="126.67"/>
    <x v="2"/>
    <x v="0"/>
  </r>
  <r>
    <x v="28"/>
    <d v="2023-10-23T00:00:00"/>
    <x v="4"/>
    <n v="1"/>
    <n v="60"/>
    <n v="14"/>
    <n v="840"/>
    <n v="88"/>
    <x v="2"/>
    <x v="1"/>
  </r>
  <r>
    <x v="28"/>
    <d v="2023-10-23T00:00:00"/>
    <x v="4"/>
    <n v="2"/>
    <n v="60"/>
    <n v="11"/>
    <n v="660"/>
    <n v="82"/>
    <x v="2"/>
    <x v="1"/>
  </r>
  <r>
    <x v="28"/>
    <d v="2023-10-23T00:00:00"/>
    <x v="4"/>
    <n v="3"/>
    <n v="60"/>
    <n v="9"/>
    <n v="540"/>
    <n v="78"/>
    <x v="2"/>
    <x v="1"/>
  </r>
  <r>
    <x v="28"/>
    <d v="2023-10-23T00:00:00"/>
    <x v="4"/>
    <n v="4"/>
    <n v="60"/>
    <n v="9"/>
    <n v="540"/>
    <n v="78"/>
    <x v="2"/>
    <x v="1"/>
  </r>
  <r>
    <x v="28"/>
    <d v="2023-10-23T00:00:00"/>
    <x v="5"/>
    <n v="1"/>
    <n v="45"/>
    <n v="10"/>
    <n v="450"/>
    <n v="60"/>
    <x v="2"/>
    <x v="0"/>
  </r>
  <r>
    <x v="28"/>
    <d v="2023-10-23T00:00:00"/>
    <x v="5"/>
    <n v="2"/>
    <n v="65"/>
    <n v="10"/>
    <n v="650"/>
    <n v="86.67"/>
    <x v="2"/>
    <x v="0"/>
  </r>
  <r>
    <x v="28"/>
    <d v="2023-10-23T00:00:00"/>
    <x v="5"/>
    <n v="3"/>
    <n v="70"/>
    <n v="8"/>
    <n v="560"/>
    <n v="88.67"/>
    <x v="2"/>
    <x v="0"/>
  </r>
  <r>
    <x v="28"/>
    <d v="2023-10-23T00:00:00"/>
    <x v="5"/>
    <n v="4"/>
    <n v="70"/>
    <n v="9"/>
    <n v="630"/>
    <n v="91"/>
    <x v="2"/>
    <x v="0"/>
  </r>
  <r>
    <x v="28"/>
    <d v="2023-10-23T00:00:00"/>
    <x v="5"/>
    <n v="5"/>
    <n v="70"/>
    <n v="7"/>
    <n v="490"/>
    <n v="86.33"/>
    <x v="2"/>
    <x v="0"/>
  </r>
  <r>
    <x v="28"/>
    <d v="2023-10-23T00:00:00"/>
    <x v="6"/>
    <n v="1"/>
    <n v="5"/>
    <n v="20"/>
    <n v="100"/>
    <n v="8.33"/>
    <x v="2"/>
    <x v="1"/>
  </r>
  <r>
    <x v="28"/>
    <d v="2023-10-23T00:00:00"/>
    <x v="6"/>
    <n v="2"/>
    <n v="5"/>
    <n v="20"/>
    <n v="100"/>
    <n v="8.33"/>
    <x v="2"/>
    <x v="1"/>
  </r>
  <r>
    <x v="28"/>
    <d v="2023-10-23T00:00:00"/>
    <x v="6"/>
    <n v="3"/>
    <n v="10"/>
    <n v="15"/>
    <n v="150"/>
    <n v="15"/>
    <x v="2"/>
    <x v="1"/>
  </r>
  <r>
    <x v="28"/>
    <d v="2023-10-23T00:00:00"/>
    <x v="6"/>
    <n v="4"/>
    <n v="5"/>
    <n v="20"/>
    <n v="100"/>
    <n v="8.33"/>
    <x v="2"/>
    <x v="1"/>
  </r>
  <r>
    <x v="29"/>
    <d v="2023-10-24T00:00:00"/>
    <x v="0"/>
    <n v="1"/>
    <n v="95"/>
    <n v="10"/>
    <n v="950"/>
    <n v="126.67"/>
    <x v="0"/>
    <x v="0"/>
  </r>
  <r>
    <x v="29"/>
    <d v="2023-10-24T00:00:00"/>
    <x v="0"/>
    <n v="2"/>
    <n v="105"/>
    <n v="12"/>
    <n v="1260"/>
    <n v="147"/>
    <x v="0"/>
    <x v="0"/>
  </r>
  <r>
    <x v="29"/>
    <d v="2023-10-24T00:00:00"/>
    <x v="0"/>
    <n v="3"/>
    <n v="105"/>
    <n v="12"/>
    <n v="1260"/>
    <n v="147"/>
    <x v="0"/>
    <x v="0"/>
  </r>
  <r>
    <x v="29"/>
    <d v="2023-10-24T00:00:00"/>
    <x v="0"/>
    <n v="4"/>
    <n v="95"/>
    <n v="12"/>
    <n v="1140"/>
    <n v="133"/>
    <x v="0"/>
    <x v="0"/>
  </r>
  <r>
    <x v="29"/>
    <d v="2023-10-24T00:00:00"/>
    <x v="1"/>
    <n v="1"/>
    <n v="65"/>
    <n v="14"/>
    <n v="910"/>
    <n v="95.33"/>
    <x v="0"/>
    <x v="1"/>
  </r>
  <r>
    <x v="29"/>
    <d v="2023-10-24T00:00:00"/>
    <x v="1"/>
    <n v="2"/>
    <n v="65"/>
    <n v="10"/>
    <n v="650"/>
    <n v="86.67"/>
    <x v="0"/>
    <x v="1"/>
  </r>
  <r>
    <x v="29"/>
    <d v="2023-10-24T00:00:00"/>
    <x v="1"/>
    <n v="3"/>
    <n v="65"/>
    <n v="8"/>
    <n v="520"/>
    <n v="82.33"/>
    <x v="0"/>
    <x v="1"/>
  </r>
  <r>
    <x v="29"/>
    <d v="2023-10-24T00:00:00"/>
    <x v="1"/>
    <n v="4"/>
    <n v="65"/>
    <n v="6"/>
    <n v="390"/>
    <n v="78"/>
    <x v="0"/>
    <x v="1"/>
  </r>
  <r>
    <x v="29"/>
    <d v="2023-10-24T00:00:00"/>
    <x v="1"/>
    <n v="5"/>
    <n v="15"/>
    <n v="15"/>
    <n v="225"/>
    <n v="22.5"/>
    <x v="0"/>
    <x v="1"/>
  </r>
  <r>
    <x v="29"/>
    <d v="2023-10-24T00:00:00"/>
    <x v="8"/>
    <n v="1"/>
    <n v="55"/>
    <n v="12"/>
    <n v="660"/>
    <n v="77"/>
    <x v="0"/>
    <x v="1"/>
  </r>
  <r>
    <x v="29"/>
    <d v="2023-10-24T00:00:00"/>
    <x v="8"/>
    <n v="2"/>
    <n v="55"/>
    <n v="12"/>
    <n v="660"/>
    <n v="77"/>
    <x v="0"/>
    <x v="1"/>
  </r>
  <r>
    <x v="29"/>
    <d v="2023-10-24T00:00:00"/>
    <x v="8"/>
    <n v="3"/>
    <n v="60"/>
    <n v="12"/>
    <n v="720"/>
    <n v="84"/>
    <x v="0"/>
    <x v="1"/>
  </r>
  <r>
    <x v="29"/>
    <d v="2023-10-24T00:00:00"/>
    <x v="11"/>
    <n v="1"/>
    <n v="167"/>
    <n v="4"/>
    <n v="668"/>
    <n v="189.27"/>
    <x v="0"/>
    <x v="0"/>
  </r>
  <r>
    <x v="29"/>
    <d v="2023-10-24T00:00:00"/>
    <x v="11"/>
    <n v="2"/>
    <n v="167"/>
    <n v="5"/>
    <n v="835"/>
    <n v="194.83"/>
    <x v="0"/>
    <x v="0"/>
  </r>
  <r>
    <x v="29"/>
    <d v="2023-10-24T00:00:00"/>
    <x v="11"/>
    <n v="3"/>
    <n v="167"/>
    <n v="4"/>
    <n v="668"/>
    <n v="189.27"/>
    <x v="0"/>
    <x v="0"/>
  </r>
  <r>
    <x v="30"/>
    <d v="2023-10-26T00:00:00"/>
    <x v="3"/>
    <n v="1"/>
    <n v="45"/>
    <n v="12"/>
    <n v="540"/>
    <n v="63"/>
    <x v="2"/>
    <x v="0"/>
  </r>
  <r>
    <x v="30"/>
    <d v="2023-10-26T00:00:00"/>
    <x v="3"/>
    <n v="2"/>
    <n v="95"/>
    <n v="12"/>
    <n v="1140"/>
    <n v="133"/>
    <x v="2"/>
    <x v="0"/>
  </r>
  <r>
    <x v="30"/>
    <d v="2023-10-26T00:00:00"/>
    <x v="3"/>
    <n v="3"/>
    <n v="120"/>
    <n v="11"/>
    <n v="1320"/>
    <n v="164"/>
    <x v="2"/>
    <x v="0"/>
  </r>
  <r>
    <x v="30"/>
    <d v="2023-10-26T00:00:00"/>
    <x v="3"/>
    <n v="4"/>
    <n v="125"/>
    <n v="10"/>
    <n v="1250"/>
    <n v="166.67"/>
    <x v="2"/>
    <x v="0"/>
  </r>
  <r>
    <x v="30"/>
    <d v="2023-10-26T00:00:00"/>
    <x v="3"/>
    <n v="5"/>
    <n v="125"/>
    <n v="10"/>
    <n v="1250"/>
    <n v="166.67"/>
    <x v="2"/>
    <x v="0"/>
  </r>
  <r>
    <x v="30"/>
    <d v="2023-10-26T00:00:00"/>
    <x v="3"/>
    <n v="6"/>
    <n v="95"/>
    <n v="10"/>
    <n v="950"/>
    <n v="126.67"/>
    <x v="2"/>
    <x v="0"/>
  </r>
  <r>
    <x v="30"/>
    <d v="2023-10-26T00:00:00"/>
    <x v="4"/>
    <n v="1"/>
    <n v="65"/>
    <n v="9"/>
    <n v="585"/>
    <n v="84.5"/>
    <x v="2"/>
    <x v="1"/>
  </r>
  <r>
    <x v="30"/>
    <d v="2023-10-26T00:00:00"/>
    <x v="4"/>
    <n v="2"/>
    <n v="60"/>
    <n v="12"/>
    <n v="720"/>
    <n v="84"/>
    <x v="2"/>
    <x v="1"/>
  </r>
  <r>
    <x v="30"/>
    <d v="2023-10-26T00:00:00"/>
    <x v="4"/>
    <n v="3"/>
    <n v="60"/>
    <n v="10"/>
    <n v="600"/>
    <n v="80"/>
    <x v="2"/>
    <x v="1"/>
  </r>
  <r>
    <x v="30"/>
    <d v="2023-10-26T00:00:00"/>
    <x v="4"/>
    <n v="4"/>
    <n v="60"/>
    <n v="9"/>
    <n v="540"/>
    <n v="78"/>
    <x v="2"/>
    <x v="1"/>
  </r>
  <r>
    <x v="30"/>
    <d v="2023-10-26T00:00:00"/>
    <x v="5"/>
    <n v="1"/>
    <n v="65"/>
    <n v="10"/>
    <n v="650"/>
    <n v="86.67"/>
    <x v="2"/>
    <x v="0"/>
  </r>
  <r>
    <x v="30"/>
    <d v="2023-10-26T00:00:00"/>
    <x v="5"/>
    <n v="2"/>
    <n v="75"/>
    <n v="7"/>
    <n v="525"/>
    <n v="92.5"/>
    <x v="2"/>
    <x v="0"/>
  </r>
  <r>
    <x v="30"/>
    <d v="2023-10-26T00:00:00"/>
    <x v="5"/>
    <n v="3"/>
    <n v="65"/>
    <n v="9"/>
    <n v="585"/>
    <n v="84.5"/>
    <x v="2"/>
    <x v="0"/>
  </r>
  <r>
    <x v="30"/>
    <d v="2023-10-26T00:00:00"/>
    <x v="5"/>
    <n v="4"/>
    <n v="65"/>
    <n v="7"/>
    <n v="455"/>
    <n v="80.17"/>
    <x v="2"/>
    <x v="0"/>
  </r>
  <r>
    <x v="30"/>
    <d v="2023-10-26T00:00:00"/>
    <x v="5"/>
    <n v="5"/>
    <n v="45"/>
    <n v="10"/>
    <n v="450"/>
    <n v="60"/>
    <x v="2"/>
    <x v="0"/>
  </r>
  <r>
    <x v="30"/>
    <d v="2023-10-26T00:00:00"/>
    <x v="6"/>
    <n v="1"/>
    <n v="5"/>
    <n v="20"/>
    <n v="100"/>
    <n v="8.33"/>
    <x v="2"/>
    <x v="1"/>
  </r>
  <r>
    <x v="30"/>
    <d v="2023-10-26T00:00:00"/>
    <x v="6"/>
    <n v="2"/>
    <n v="10"/>
    <n v="15"/>
    <n v="150"/>
    <n v="15"/>
    <x v="2"/>
    <x v="1"/>
  </r>
  <r>
    <x v="30"/>
    <d v="2023-10-26T00:00:00"/>
    <x v="6"/>
    <n v="3"/>
    <n v="10"/>
    <n v="20"/>
    <n v="200"/>
    <n v="16.670000000000002"/>
    <x v="2"/>
    <x v="1"/>
  </r>
  <r>
    <x v="30"/>
    <d v="2023-10-26T00:00:00"/>
    <x v="6"/>
    <n v="4"/>
    <n v="10"/>
    <n v="20"/>
    <n v="200"/>
    <n v="16.670000000000002"/>
    <x v="2"/>
    <x v="1"/>
  </r>
  <r>
    <x v="31"/>
    <d v="2023-10-28T00:00:00"/>
    <x v="7"/>
    <n v="1"/>
    <n v="155"/>
    <n v="10"/>
    <n v="1550"/>
    <n v="206.67"/>
    <x v="1"/>
    <x v="1"/>
  </r>
  <r>
    <x v="31"/>
    <d v="2023-10-28T00:00:00"/>
    <x v="7"/>
    <n v="2"/>
    <n v="160"/>
    <n v="8"/>
    <n v="1280"/>
    <n v="202.67"/>
    <x v="1"/>
    <x v="1"/>
  </r>
  <r>
    <x v="31"/>
    <d v="2023-10-28T00:00:00"/>
    <x v="9"/>
    <n v="1"/>
    <n v="70"/>
    <n v="18"/>
    <n v="1260"/>
    <n v="112"/>
    <x v="1"/>
    <x v="0"/>
  </r>
  <r>
    <x v="31"/>
    <d v="2023-10-28T00:00:00"/>
    <x v="9"/>
    <n v="2"/>
    <n v="105"/>
    <n v="12"/>
    <n v="1260"/>
    <n v="147"/>
    <x v="1"/>
    <x v="0"/>
  </r>
  <r>
    <x v="31"/>
    <d v="2023-10-28T00:00:00"/>
    <x v="9"/>
    <n v="3"/>
    <n v="105"/>
    <n v="10"/>
    <n v="1050"/>
    <n v="140"/>
    <x v="1"/>
    <x v="0"/>
  </r>
  <r>
    <x v="31"/>
    <d v="2023-10-28T00:00:00"/>
    <x v="9"/>
    <n v="4"/>
    <n v="105"/>
    <n v="10"/>
    <n v="1050"/>
    <n v="140"/>
    <x v="1"/>
    <x v="0"/>
  </r>
  <r>
    <x v="31"/>
    <d v="2023-10-28T00:00:00"/>
    <x v="9"/>
    <n v="5"/>
    <n v="95"/>
    <n v="10"/>
    <n v="950"/>
    <n v="126.67"/>
    <x v="1"/>
    <x v="0"/>
  </r>
  <r>
    <x v="31"/>
    <d v="2023-10-28T00:00:00"/>
    <x v="2"/>
    <n v="1"/>
    <n v="155"/>
    <n v="10"/>
    <n v="1550"/>
    <n v="206.67"/>
    <x v="1"/>
    <x v="0"/>
  </r>
  <r>
    <x v="31"/>
    <d v="2023-10-28T00:00:00"/>
    <x v="2"/>
    <n v="2"/>
    <n v="155"/>
    <n v="10"/>
    <n v="1550"/>
    <n v="206.67"/>
    <x v="1"/>
    <x v="0"/>
  </r>
  <r>
    <x v="31"/>
    <d v="2023-10-28T00:00:00"/>
    <x v="2"/>
    <n v="3"/>
    <n v="155"/>
    <n v="10"/>
    <n v="1550"/>
    <n v="206.67"/>
    <x v="1"/>
    <x v="0"/>
  </r>
  <r>
    <x v="32"/>
    <d v="2023-10-30T00:00:00"/>
    <x v="3"/>
    <n v="1"/>
    <n v="125"/>
    <n v="8"/>
    <n v="1000"/>
    <n v="158.33000000000001"/>
    <x v="2"/>
    <x v="0"/>
  </r>
  <r>
    <x v="32"/>
    <d v="2023-10-30T00:00:00"/>
    <x v="3"/>
    <n v="2"/>
    <n v="125"/>
    <n v="7"/>
    <n v="875"/>
    <n v="154.16999999999999"/>
    <x v="2"/>
    <x v="0"/>
  </r>
  <r>
    <x v="32"/>
    <d v="2023-10-30T00:00:00"/>
    <x v="3"/>
    <n v="3"/>
    <n v="125"/>
    <n v="6"/>
    <n v="750"/>
    <n v="150"/>
    <x v="2"/>
    <x v="0"/>
  </r>
  <r>
    <x v="32"/>
    <d v="2023-10-30T00:00:00"/>
    <x v="10"/>
    <n v="1"/>
    <n v="45"/>
    <n v="12"/>
    <n v="540"/>
    <n v="63"/>
    <x v="2"/>
    <x v="1"/>
  </r>
  <r>
    <x v="32"/>
    <d v="2023-10-30T00:00:00"/>
    <x v="10"/>
    <n v="2"/>
    <n v="80"/>
    <n v="13"/>
    <n v="1040"/>
    <n v="114.67"/>
    <x v="2"/>
    <x v="1"/>
  </r>
  <r>
    <x v="32"/>
    <d v="2023-10-30T00:00:00"/>
    <x v="10"/>
    <n v="3"/>
    <n v="110"/>
    <n v="10"/>
    <n v="1100"/>
    <n v="146.66999999999999"/>
    <x v="2"/>
    <x v="1"/>
  </r>
  <r>
    <x v="32"/>
    <d v="2023-10-30T00:00:00"/>
    <x v="10"/>
    <n v="4"/>
    <n v="115"/>
    <n v="8"/>
    <n v="920"/>
    <n v="145.66999999999999"/>
    <x v="2"/>
    <x v="1"/>
  </r>
  <r>
    <x v="32"/>
    <d v="2023-10-30T00:00:00"/>
    <x v="4"/>
    <n v="1"/>
    <n v="60"/>
    <n v="15"/>
    <n v="900"/>
    <n v="90"/>
    <x v="2"/>
    <x v="1"/>
  </r>
  <r>
    <x v="32"/>
    <d v="2023-10-30T00:00:00"/>
    <x v="4"/>
    <n v="2"/>
    <n v="65"/>
    <n v="11"/>
    <n v="715"/>
    <n v="88.83"/>
    <x v="2"/>
    <x v="1"/>
  </r>
  <r>
    <x v="32"/>
    <d v="2023-10-30T00:00:00"/>
    <x v="4"/>
    <n v="3"/>
    <n v="65"/>
    <n v="9"/>
    <n v="585"/>
    <n v="84.5"/>
    <x v="2"/>
    <x v="1"/>
  </r>
  <r>
    <x v="32"/>
    <d v="2023-10-30T00:00:00"/>
    <x v="4"/>
    <n v="4"/>
    <n v="65"/>
    <n v="8"/>
    <n v="520"/>
    <n v="82.33"/>
    <x v="2"/>
    <x v="1"/>
  </r>
  <r>
    <x v="32"/>
    <d v="2023-10-30T00:00:00"/>
    <x v="5"/>
    <n v="1"/>
    <n v="65"/>
    <n v="10"/>
    <n v="650"/>
    <n v="86.67"/>
    <x v="2"/>
    <x v="0"/>
  </r>
  <r>
    <x v="32"/>
    <d v="2023-10-30T00:00:00"/>
    <x v="5"/>
    <n v="2"/>
    <n v="65"/>
    <n v="9"/>
    <n v="585"/>
    <n v="84.5"/>
    <x v="2"/>
    <x v="0"/>
  </r>
  <r>
    <x v="32"/>
    <d v="2023-10-30T00:00:00"/>
    <x v="5"/>
    <n v="3"/>
    <n v="65"/>
    <n v="9"/>
    <n v="585"/>
    <n v="84.5"/>
    <x v="2"/>
    <x v="0"/>
  </r>
  <r>
    <x v="32"/>
    <d v="2023-10-30T00:00:00"/>
    <x v="6"/>
    <n v="1"/>
    <n v="5"/>
    <n v="20"/>
    <n v="100"/>
    <n v="8.33"/>
    <x v="2"/>
    <x v="1"/>
  </r>
  <r>
    <x v="32"/>
    <d v="2023-10-30T00:00:00"/>
    <x v="6"/>
    <n v="2"/>
    <n v="5"/>
    <n v="20"/>
    <n v="100"/>
    <n v="8.33"/>
    <x v="2"/>
    <x v="1"/>
  </r>
  <r>
    <x v="32"/>
    <d v="2023-10-30T00:00:00"/>
    <x v="6"/>
    <n v="3"/>
    <n v="5"/>
    <n v="20"/>
    <n v="100"/>
    <n v="8.33"/>
    <x v="2"/>
    <x v="1"/>
  </r>
  <r>
    <x v="32"/>
    <d v="2023-10-30T00:00:00"/>
    <x v="12"/>
    <n v="1"/>
    <n v="10"/>
    <n v="20"/>
    <n v="200"/>
    <n v="16.670000000000002"/>
    <x v="2"/>
    <x v="1"/>
  </r>
  <r>
    <x v="32"/>
    <d v="2023-10-30T00:00:00"/>
    <x v="12"/>
    <n v="2"/>
    <n v="10"/>
    <n v="20"/>
    <n v="200"/>
    <n v="16.670000000000002"/>
    <x v="2"/>
    <x v="1"/>
  </r>
  <r>
    <x v="32"/>
    <d v="2023-10-30T00:00:00"/>
    <x v="12"/>
    <n v="3"/>
    <n v="10"/>
    <n v="20"/>
    <n v="200"/>
    <n v="16.670000000000002"/>
    <x v="2"/>
    <x v="1"/>
  </r>
  <r>
    <x v="32"/>
    <d v="2023-10-30T00:00:00"/>
    <x v="12"/>
    <n v="4"/>
    <n v="10"/>
    <n v="20"/>
    <n v="200"/>
    <n v="16.670000000000002"/>
    <x v="2"/>
    <x v="1"/>
  </r>
  <r>
    <x v="33"/>
    <d v="2023-10-31T00:00:00"/>
    <x v="13"/>
    <n v="1"/>
    <n v="155"/>
    <n v="10"/>
    <n v="1550"/>
    <n v="206.67"/>
    <x v="0"/>
    <x v="1"/>
  </r>
  <r>
    <x v="33"/>
    <d v="2023-10-31T00:00:00"/>
    <x v="13"/>
    <n v="2"/>
    <n v="205"/>
    <n v="10"/>
    <n v="2050"/>
    <n v="273.33"/>
    <x v="0"/>
    <x v="1"/>
  </r>
  <r>
    <x v="33"/>
    <d v="2023-10-31T00:00:00"/>
    <x v="13"/>
    <n v="3"/>
    <n v="220"/>
    <n v="10"/>
    <n v="2200"/>
    <n v="293.33"/>
    <x v="0"/>
    <x v="1"/>
  </r>
  <r>
    <x v="33"/>
    <d v="2023-10-31T00:00:00"/>
    <x v="8"/>
    <n v="1"/>
    <n v="60"/>
    <n v="15"/>
    <n v="900"/>
    <n v="90"/>
    <x v="0"/>
    <x v="1"/>
  </r>
  <r>
    <x v="33"/>
    <d v="2023-10-31T00:00:00"/>
    <x v="8"/>
    <n v="2"/>
    <n v="65"/>
    <n v="15"/>
    <n v="975"/>
    <n v="97.5"/>
    <x v="0"/>
    <x v="1"/>
  </r>
  <r>
    <x v="33"/>
    <d v="2023-10-31T00:00:00"/>
    <x v="8"/>
    <n v="3"/>
    <n v="65"/>
    <n v="12"/>
    <n v="780"/>
    <n v="91"/>
    <x v="0"/>
    <x v="1"/>
  </r>
  <r>
    <x v="33"/>
    <d v="2023-10-31T00:00:00"/>
    <x v="11"/>
    <n v="1"/>
    <n v="168"/>
    <n v="6"/>
    <n v="1008"/>
    <n v="201.6"/>
    <x v="0"/>
    <x v="0"/>
  </r>
  <r>
    <x v="33"/>
    <d v="2023-10-31T00:00:00"/>
    <x v="11"/>
    <n v="2"/>
    <n v="168"/>
    <n v="6"/>
    <n v="1008"/>
    <n v="201.6"/>
    <x v="0"/>
    <x v="0"/>
  </r>
  <r>
    <x v="33"/>
    <d v="2023-10-31T00:00:00"/>
    <x v="11"/>
    <n v="3"/>
    <n v="168"/>
    <n v="5"/>
    <n v="840"/>
    <n v="196"/>
    <x v="0"/>
    <x v="0"/>
  </r>
  <r>
    <x v="34"/>
    <d v="2023-11-07T00:00:00"/>
    <x v="13"/>
    <n v="1"/>
    <n v="165"/>
    <n v="10"/>
    <n v="1650"/>
    <n v="220"/>
    <x v="0"/>
    <x v="1"/>
  </r>
  <r>
    <x v="34"/>
    <d v="2023-11-07T00:00:00"/>
    <x v="13"/>
    <n v="2"/>
    <n v="205"/>
    <n v="10"/>
    <n v="2050"/>
    <n v="273.33"/>
    <x v="0"/>
    <x v="1"/>
  </r>
  <r>
    <x v="34"/>
    <d v="2023-11-07T00:00:00"/>
    <x v="13"/>
    <n v="3"/>
    <n v="220"/>
    <n v="10"/>
    <n v="2200"/>
    <n v="293.33"/>
    <x v="0"/>
    <x v="1"/>
  </r>
  <r>
    <x v="34"/>
    <d v="2023-11-07T00:00:00"/>
    <x v="1"/>
    <n v="1"/>
    <n v="65"/>
    <n v="15"/>
    <n v="975"/>
    <n v="97.5"/>
    <x v="0"/>
    <x v="1"/>
  </r>
  <r>
    <x v="34"/>
    <d v="2023-11-07T00:00:00"/>
    <x v="1"/>
    <n v="2"/>
    <n v="65"/>
    <n v="10"/>
    <n v="650"/>
    <n v="86.67"/>
    <x v="0"/>
    <x v="1"/>
  </r>
  <r>
    <x v="34"/>
    <d v="2023-11-07T00:00:00"/>
    <x v="1"/>
    <n v="3"/>
    <n v="65"/>
    <n v="10"/>
    <n v="650"/>
    <n v="86.67"/>
    <x v="0"/>
    <x v="1"/>
  </r>
  <r>
    <x v="34"/>
    <d v="2023-11-07T00:00:00"/>
    <x v="1"/>
    <n v="4"/>
    <n v="65"/>
    <n v="10"/>
    <n v="650"/>
    <n v="86.67"/>
    <x v="0"/>
    <x v="1"/>
  </r>
  <r>
    <x v="34"/>
    <d v="2023-11-07T00:00:00"/>
    <x v="8"/>
    <n v="1"/>
    <n v="65"/>
    <n v="15"/>
    <n v="975"/>
    <n v="97.5"/>
    <x v="0"/>
    <x v="1"/>
  </r>
  <r>
    <x v="34"/>
    <d v="2023-11-07T00:00:00"/>
    <x v="8"/>
    <n v="2"/>
    <n v="70"/>
    <n v="12"/>
    <n v="840"/>
    <n v="98"/>
    <x v="0"/>
    <x v="1"/>
  </r>
  <r>
    <x v="34"/>
    <d v="2023-11-07T00:00:00"/>
    <x v="8"/>
    <n v="3"/>
    <n v="70"/>
    <n v="12"/>
    <n v="840"/>
    <n v="98"/>
    <x v="0"/>
    <x v="1"/>
  </r>
  <r>
    <x v="34"/>
    <d v="2023-11-07T00:00:00"/>
    <x v="11"/>
    <n v="1"/>
    <n v="169"/>
    <n v="9"/>
    <n v="1521"/>
    <n v="219.7"/>
    <x v="0"/>
    <x v="0"/>
  </r>
  <r>
    <x v="34"/>
    <d v="2023-11-07T00:00:00"/>
    <x v="11"/>
    <n v="2"/>
    <n v="169"/>
    <n v="8"/>
    <n v="1352"/>
    <n v="214.07"/>
    <x v="0"/>
    <x v="0"/>
  </r>
  <r>
    <x v="34"/>
    <d v="2023-11-07T00:00:00"/>
    <x v="11"/>
    <n v="3"/>
    <n v="169"/>
    <n v="7"/>
    <n v="1183"/>
    <n v="208.43"/>
    <x v="0"/>
    <x v="0"/>
  </r>
  <r>
    <x v="35"/>
    <d v="2023-11-08T00:00:00"/>
    <x v="3"/>
    <n v="1"/>
    <n v="95"/>
    <n v="8"/>
    <n v="760"/>
    <n v="120.33"/>
    <x v="2"/>
    <x v="0"/>
  </r>
  <r>
    <x v="35"/>
    <d v="2023-11-08T00:00:00"/>
    <x v="3"/>
    <n v="2"/>
    <n v="125"/>
    <n v="6"/>
    <n v="750"/>
    <n v="150"/>
    <x v="2"/>
    <x v="0"/>
  </r>
  <r>
    <x v="35"/>
    <d v="2023-11-08T00:00:00"/>
    <x v="3"/>
    <n v="3"/>
    <n v="125"/>
    <n v="3"/>
    <n v="375"/>
    <n v="137.5"/>
    <x v="2"/>
    <x v="0"/>
  </r>
  <r>
    <x v="35"/>
    <d v="2023-11-08T00:00:00"/>
    <x v="10"/>
    <n v="1"/>
    <n v="45"/>
    <n v="12"/>
    <n v="540"/>
    <n v="63"/>
    <x v="2"/>
    <x v="1"/>
  </r>
  <r>
    <x v="35"/>
    <d v="2023-11-08T00:00:00"/>
    <x v="10"/>
    <n v="2"/>
    <n v="95"/>
    <n v="12"/>
    <n v="1140"/>
    <n v="133"/>
    <x v="2"/>
    <x v="1"/>
  </r>
  <r>
    <x v="35"/>
    <d v="2023-11-08T00:00:00"/>
    <x v="10"/>
    <n v="3"/>
    <n v="120"/>
    <n v="8"/>
    <n v="960"/>
    <n v="152"/>
    <x v="2"/>
    <x v="1"/>
  </r>
  <r>
    <x v="35"/>
    <d v="2023-11-08T00:00:00"/>
    <x v="10"/>
    <n v="4"/>
    <n v="115"/>
    <n v="7"/>
    <n v="805"/>
    <n v="141.83000000000001"/>
    <x v="2"/>
    <x v="1"/>
  </r>
  <r>
    <x v="35"/>
    <d v="2023-11-08T00:00:00"/>
    <x v="10"/>
    <n v="5"/>
    <n v="95"/>
    <n v="12"/>
    <n v="1140"/>
    <n v="133"/>
    <x v="2"/>
    <x v="1"/>
  </r>
  <r>
    <x v="35"/>
    <d v="2023-11-08T00:00:00"/>
    <x v="4"/>
    <n v="1"/>
    <n v="65"/>
    <n v="8"/>
    <n v="520"/>
    <n v="82.33"/>
    <x v="2"/>
    <x v="1"/>
  </r>
  <r>
    <x v="35"/>
    <d v="2023-11-08T00:00:00"/>
    <x v="4"/>
    <n v="2"/>
    <n v="60"/>
    <n v="10"/>
    <n v="600"/>
    <n v="80"/>
    <x v="2"/>
    <x v="1"/>
  </r>
  <r>
    <x v="35"/>
    <d v="2023-11-08T00:00:00"/>
    <x v="4"/>
    <n v="3"/>
    <n v="60"/>
    <n v="5"/>
    <n v="300"/>
    <n v="70"/>
    <x v="2"/>
    <x v="1"/>
  </r>
  <r>
    <x v="35"/>
    <d v="2023-11-08T00:00:00"/>
    <x v="6"/>
    <n v="1"/>
    <n v="5"/>
    <n v="20"/>
    <n v="100"/>
    <n v="8.33"/>
    <x v="2"/>
    <x v="1"/>
  </r>
  <r>
    <x v="35"/>
    <d v="2023-11-08T00:00:00"/>
    <x v="6"/>
    <n v="2"/>
    <n v="5"/>
    <n v="20"/>
    <n v="100"/>
    <n v="8.33"/>
    <x v="2"/>
    <x v="1"/>
  </r>
  <r>
    <x v="35"/>
    <d v="2023-11-08T00:00:00"/>
    <x v="6"/>
    <n v="3"/>
    <n v="5"/>
    <n v="20"/>
    <n v="100"/>
    <n v="8.33"/>
    <x v="2"/>
    <x v="1"/>
  </r>
  <r>
    <x v="35"/>
    <d v="2023-11-08T00:00:00"/>
    <x v="12"/>
    <n v="1"/>
    <n v="10"/>
    <n v="20"/>
    <n v="200"/>
    <n v="16.670000000000002"/>
    <x v="2"/>
    <x v="1"/>
  </r>
  <r>
    <x v="35"/>
    <d v="2023-11-08T00:00:00"/>
    <x v="12"/>
    <n v="2"/>
    <n v="10"/>
    <n v="20"/>
    <n v="200"/>
    <n v="16.670000000000002"/>
    <x v="2"/>
    <x v="1"/>
  </r>
  <r>
    <x v="35"/>
    <d v="2023-11-08T00:00:00"/>
    <x v="12"/>
    <n v="3"/>
    <n v="10"/>
    <n v="20"/>
    <n v="200"/>
    <n v="16.670000000000002"/>
    <x v="2"/>
    <x v="1"/>
  </r>
  <r>
    <x v="36"/>
    <d v="2023-11-09T00:00:00"/>
    <x v="7"/>
    <n v="1"/>
    <n v="135"/>
    <n v="10"/>
    <n v="1350"/>
    <n v="180"/>
    <x v="1"/>
    <x v="1"/>
  </r>
  <r>
    <x v="36"/>
    <d v="2023-11-09T00:00:00"/>
    <x v="7"/>
    <n v="2"/>
    <n v="155"/>
    <n v="10"/>
    <n v="1550"/>
    <n v="206.67"/>
    <x v="1"/>
    <x v="1"/>
  </r>
  <r>
    <x v="36"/>
    <d v="2023-11-09T00:00:00"/>
    <x v="7"/>
    <n v="3"/>
    <n v="165"/>
    <n v="10"/>
    <n v="1650"/>
    <n v="220"/>
    <x v="1"/>
    <x v="1"/>
  </r>
  <r>
    <x v="36"/>
    <d v="2023-11-09T00:00:00"/>
    <x v="9"/>
    <n v="1"/>
    <n v="95"/>
    <n v="10"/>
    <n v="950"/>
    <n v="126.67"/>
    <x v="1"/>
    <x v="0"/>
  </r>
  <r>
    <x v="36"/>
    <d v="2023-11-09T00:00:00"/>
    <x v="9"/>
    <n v="2"/>
    <n v="105"/>
    <n v="6"/>
    <n v="630"/>
    <n v="126"/>
    <x v="1"/>
    <x v="0"/>
  </r>
  <r>
    <x v="36"/>
    <d v="2023-11-09T00:00:00"/>
    <x v="9"/>
    <n v="3"/>
    <n v="110"/>
    <n v="12"/>
    <n v="1320"/>
    <n v="154"/>
    <x v="1"/>
    <x v="0"/>
  </r>
  <r>
    <x v="36"/>
    <d v="2023-11-09T00:00:00"/>
    <x v="9"/>
    <n v="4"/>
    <n v="105"/>
    <n v="8"/>
    <n v="840"/>
    <n v="133"/>
    <x v="1"/>
    <x v="0"/>
  </r>
  <r>
    <x v="36"/>
    <d v="2023-11-09T00:00:00"/>
    <x v="9"/>
    <n v="5"/>
    <n v="95"/>
    <n v="10"/>
    <n v="950"/>
    <n v="126.67"/>
    <x v="1"/>
    <x v="0"/>
  </r>
  <r>
    <x v="36"/>
    <d v="2023-11-09T00:00:00"/>
    <x v="2"/>
    <n v="1"/>
    <n v="165"/>
    <n v="10"/>
    <n v="1650"/>
    <n v="220"/>
    <x v="1"/>
    <x v="0"/>
  </r>
  <r>
    <x v="36"/>
    <d v="2023-11-09T00:00:00"/>
    <x v="2"/>
    <n v="2"/>
    <n v="170"/>
    <n v="10"/>
    <n v="1700"/>
    <n v="226.67"/>
    <x v="1"/>
    <x v="0"/>
  </r>
  <r>
    <x v="36"/>
    <d v="2023-11-09T00:00:00"/>
    <x v="2"/>
    <n v="3"/>
    <n v="170"/>
    <n v="10"/>
    <n v="1700"/>
    <n v="226.67"/>
    <x v="1"/>
    <x v="0"/>
  </r>
  <r>
    <x v="37"/>
    <d v="2023-11-12T00:00:00"/>
    <x v="13"/>
    <n v="1"/>
    <n v="170"/>
    <n v="12"/>
    <n v="2040"/>
    <n v="238"/>
    <x v="0"/>
    <x v="1"/>
  </r>
  <r>
    <x v="37"/>
    <d v="2023-11-12T00:00:00"/>
    <x v="13"/>
    <n v="2"/>
    <n v="210"/>
    <n v="12"/>
    <n v="2520"/>
    <n v="294"/>
    <x v="0"/>
    <x v="1"/>
  </r>
  <r>
    <x v="37"/>
    <d v="2023-11-12T00:00:00"/>
    <x v="13"/>
    <n v="3"/>
    <n v="220"/>
    <n v="12"/>
    <n v="2640"/>
    <n v="308"/>
    <x v="0"/>
    <x v="1"/>
  </r>
  <r>
    <x v="37"/>
    <d v="2023-11-12T00:00:00"/>
    <x v="1"/>
    <n v="1"/>
    <n v="70"/>
    <n v="10"/>
    <n v="700"/>
    <n v="93.33"/>
    <x v="0"/>
    <x v="1"/>
  </r>
  <r>
    <x v="37"/>
    <d v="2023-11-12T00:00:00"/>
    <x v="1"/>
    <n v="2"/>
    <n v="65"/>
    <n v="4"/>
    <n v="260"/>
    <n v="73.67"/>
    <x v="0"/>
    <x v="1"/>
  </r>
  <r>
    <x v="37"/>
    <d v="2023-11-12T00:00:00"/>
    <x v="1"/>
    <n v="3"/>
    <n v="65"/>
    <n v="9"/>
    <n v="585"/>
    <n v="84.5"/>
    <x v="0"/>
    <x v="1"/>
  </r>
  <r>
    <x v="37"/>
    <d v="2023-11-12T00:00:00"/>
    <x v="1"/>
    <n v="4"/>
    <n v="60"/>
    <n v="4"/>
    <n v="240"/>
    <n v="68"/>
    <x v="0"/>
    <x v="1"/>
  </r>
  <r>
    <x v="37"/>
    <d v="2023-11-12T00:00:00"/>
    <x v="1"/>
    <n v="5"/>
    <n v="60"/>
    <n v="12"/>
    <n v="720"/>
    <n v="84"/>
    <x v="0"/>
    <x v="1"/>
  </r>
  <r>
    <x v="37"/>
    <d v="2023-11-12T00:00:00"/>
    <x v="1"/>
    <n v="6"/>
    <n v="60"/>
    <n v="3"/>
    <n v="180"/>
    <n v="66"/>
    <x v="0"/>
    <x v="1"/>
  </r>
  <r>
    <x v="37"/>
    <d v="2023-11-12T00:00:00"/>
    <x v="1"/>
    <n v="7"/>
    <n v="60"/>
    <n v="10"/>
    <n v="600"/>
    <n v="80"/>
    <x v="0"/>
    <x v="1"/>
  </r>
  <r>
    <x v="37"/>
    <d v="2023-11-12T00:00:00"/>
    <x v="1"/>
    <n v="8"/>
    <n v="60"/>
    <n v="3"/>
    <n v="180"/>
    <n v="66"/>
    <x v="0"/>
    <x v="1"/>
  </r>
  <r>
    <x v="37"/>
    <d v="2023-11-12T00:00:00"/>
    <x v="8"/>
    <n v="1"/>
    <n v="65"/>
    <n v="15"/>
    <n v="975"/>
    <n v="97.5"/>
    <x v="0"/>
    <x v="1"/>
  </r>
  <r>
    <x v="37"/>
    <d v="2023-11-12T00:00:00"/>
    <x v="8"/>
    <n v="2"/>
    <n v="70"/>
    <n v="12"/>
    <n v="840"/>
    <n v="98"/>
    <x v="0"/>
    <x v="1"/>
  </r>
  <r>
    <x v="37"/>
    <d v="2023-11-12T00:00:00"/>
    <x v="8"/>
    <n v="3"/>
    <n v="50"/>
    <n v="15"/>
    <n v="750"/>
    <n v="75"/>
    <x v="0"/>
    <x v="1"/>
  </r>
  <r>
    <x v="37"/>
    <d v="2023-11-12T00:00:00"/>
    <x v="11"/>
    <n v="1"/>
    <n v="170"/>
    <n v="10"/>
    <n v="1700"/>
    <n v="226.67"/>
    <x v="0"/>
    <x v="0"/>
  </r>
  <r>
    <x v="37"/>
    <d v="2023-11-12T00:00:00"/>
    <x v="11"/>
    <n v="2"/>
    <n v="170"/>
    <n v="9"/>
    <n v="1530"/>
    <n v="221"/>
    <x v="0"/>
    <x v="0"/>
  </r>
  <r>
    <x v="37"/>
    <d v="2023-11-12T00:00:00"/>
    <x v="11"/>
    <n v="3"/>
    <n v="170"/>
    <n v="8"/>
    <n v="1360"/>
    <n v="215.33"/>
    <x v="0"/>
    <x v="0"/>
  </r>
  <r>
    <x v="38"/>
    <d v="2023-11-13T00:00:00"/>
    <x v="3"/>
    <n v="1"/>
    <n v="125"/>
    <n v="7"/>
    <n v="875"/>
    <n v="154.16999999999999"/>
    <x v="2"/>
    <x v="0"/>
  </r>
  <r>
    <x v="38"/>
    <d v="2023-11-13T00:00:00"/>
    <x v="3"/>
    <n v="2"/>
    <n v="125"/>
    <n v="7"/>
    <n v="875"/>
    <n v="154.16999999999999"/>
    <x v="2"/>
    <x v="0"/>
  </r>
  <r>
    <x v="38"/>
    <d v="2023-11-13T00:00:00"/>
    <x v="3"/>
    <n v="3"/>
    <n v="125"/>
    <n v="5"/>
    <n v="625"/>
    <n v="145.83000000000001"/>
    <x v="2"/>
    <x v="0"/>
  </r>
  <r>
    <x v="38"/>
    <d v="2023-11-13T00:00:00"/>
    <x v="10"/>
    <n v="1"/>
    <n v="45"/>
    <n v="15"/>
    <n v="675"/>
    <n v="67.5"/>
    <x v="2"/>
    <x v="1"/>
  </r>
  <r>
    <x v="38"/>
    <d v="2023-11-13T00:00:00"/>
    <x v="10"/>
    <n v="2"/>
    <n v="95"/>
    <n v="12"/>
    <n v="1140"/>
    <n v="133"/>
    <x v="2"/>
    <x v="1"/>
  </r>
  <r>
    <x v="38"/>
    <d v="2023-11-13T00:00:00"/>
    <x v="10"/>
    <n v="3"/>
    <n v="125"/>
    <n v="9"/>
    <n v="1125"/>
    <n v="162.5"/>
    <x v="2"/>
    <x v="1"/>
  </r>
  <r>
    <x v="38"/>
    <d v="2023-11-13T00:00:00"/>
    <x v="10"/>
    <n v="4"/>
    <n v="120"/>
    <n v="10"/>
    <n v="1200"/>
    <n v="160"/>
    <x v="2"/>
    <x v="1"/>
  </r>
  <r>
    <x v="38"/>
    <d v="2023-11-13T00:00:00"/>
    <x v="10"/>
    <n v="5"/>
    <n v="95"/>
    <n v="10"/>
    <n v="950"/>
    <n v="126.67"/>
    <x v="2"/>
    <x v="1"/>
  </r>
  <r>
    <x v="38"/>
    <d v="2023-11-13T00:00:00"/>
    <x v="4"/>
    <n v="1"/>
    <n v="60"/>
    <n v="14"/>
    <n v="840"/>
    <n v="88"/>
    <x v="2"/>
    <x v="1"/>
  </r>
  <r>
    <x v="38"/>
    <d v="2023-11-13T00:00:00"/>
    <x v="4"/>
    <n v="2"/>
    <n v="65"/>
    <n v="10"/>
    <n v="650"/>
    <n v="86.67"/>
    <x v="2"/>
    <x v="1"/>
  </r>
  <r>
    <x v="38"/>
    <d v="2023-11-13T00:00:00"/>
    <x v="4"/>
    <n v="3"/>
    <n v="65"/>
    <n v="7"/>
    <n v="455"/>
    <n v="80.17"/>
    <x v="2"/>
    <x v="1"/>
  </r>
  <r>
    <x v="38"/>
    <d v="2023-11-13T00:00:00"/>
    <x v="6"/>
    <n v="1"/>
    <n v="10"/>
    <n v="15"/>
    <n v="150"/>
    <n v="15"/>
    <x v="2"/>
    <x v="1"/>
  </r>
  <r>
    <x v="38"/>
    <d v="2023-11-13T00:00:00"/>
    <x v="6"/>
    <n v="2"/>
    <n v="10"/>
    <n v="15"/>
    <n v="150"/>
    <n v="15"/>
    <x v="2"/>
    <x v="1"/>
  </r>
  <r>
    <x v="38"/>
    <d v="2023-11-13T00:00:00"/>
    <x v="6"/>
    <n v="3"/>
    <n v="10"/>
    <n v="13"/>
    <n v="130"/>
    <n v="14.33"/>
    <x v="2"/>
    <x v="1"/>
  </r>
  <r>
    <x v="38"/>
    <d v="2023-11-13T00:00:00"/>
    <x v="12"/>
    <n v="1"/>
    <n v="10"/>
    <n v="20"/>
    <n v="200"/>
    <n v="16.670000000000002"/>
    <x v="2"/>
    <x v="1"/>
  </r>
  <r>
    <x v="38"/>
    <d v="2023-11-13T00:00:00"/>
    <x v="12"/>
    <n v="2"/>
    <n v="10"/>
    <n v="20"/>
    <n v="200"/>
    <n v="16.670000000000002"/>
    <x v="2"/>
    <x v="1"/>
  </r>
  <r>
    <x v="38"/>
    <d v="2023-11-13T00:00:00"/>
    <x v="12"/>
    <n v="3"/>
    <n v="10"/>
    <n v="20"/>
    <n v="200"/>
    <n v="16.670000000000002"/>
    <x v="2"/>
    <x v="1"/>
  </r>
  <r>
    <x v="39"/>
    <d v="2023-11-14T00:00:00"/>
    <x v="7"/>
    <n v="1"/>
    <n v="95"/>
    <n v="10"/>
    <n v="950"/>
    <n v="126.67"/>
    <x v="1"/>
    <x v="1"/>
  </r>
  <r>
    <x v="39"/>
    <d v="2023-11-14T00:00:00"/>
    <x v="7"/>
    <n v="2"/>
    <n v="135"/>
    <n v="10"/>
    <n v="1350"/>
    <n v="180"/>
    <x v="1"/>
    <x v="1"/>
  </r>
  <r>
    <x v="39"/>
    <d v="2023-11-14T00:00:00"/>
    <x v="7"/>
    <n v="3"/>
    <n v="160"/>
    <n v="8"/>
    <n v="1280"/>
    <n v="202.67"/>
    <x v="1"/>
    <x v="1"/>
  </r>
  <r>
    <x v="39"/>
    <d v="2023-11-14T00:00:00"/>
    <x v="7"/>
    <n v="4"/>
    <n v="160"/>
    <n v="6"/>
    <n v="960"/>
    <n v="192"/>
    <x v="1"/>
    <x v="1"/>
  </r>
  <r>
    <x v="39"/>
    <d v="2023-11-14T00:00:00"/>
    <x v="9"/>
    <n v="1"/>
    <n v="75"/>
    <n v="12"/>
    <n v="900"/>
    <n v="105"/>
    <x v="1"/>
    <x v="0"/>
  </r>
  <r>
    <x v="39"/>
    <d v="2023-11-14T00:00:00"/>
    <x v="9"/>
    <n v="2"/>
    <n v="105"/>
    <n v="10"/>
    <n v="1050"/>
    <n v="140"/>
    <x v="1"/>
    <x v="0"/>
  </r>
  <r>
    <x v="39"/>
    <d v="2023-11-14T00:00:00"/>
    <x v="9"/>
    <n v="3"/>
    <n v="115"/>
    <n v="12"/>
    <n v="1380"/>
    <n v="161"/>
    <x v="1"/>
    <x v="0"/>
  </r>
  <r>
    <x v="39"/>
    <d v="2023-11-14T00:00:00"/>
    <x v="9"/>
    <n v="4"/>
    <n v="105"/>
    <n v="8"/>
    <n v="840"/>
    <n v="133"/>
    <x v="1"/>
    <x v="0"/>
  </r>
  <r>
    <x v="39"/>
    <d v="2023-11-14T00:00:00"/>
    <x v="2"/>
    <n v="1"/>
    <n v="170"/>
    <n v="10"/>
    <n v="1700"/>
    <n v="226.67"/>
    <x v="1"/>
    <x v="0"/>
  </r>
  <r>
    <x v="39"/>
    <d v="2023-11-14T00:00:00"/>
    <x v="2"/>
    <n v="2"/>
    <n v="170"/>
    <n v="12"/>
    <n v="2040"/>
    <n v="238"/>
    <x v="1"/>
    <x v="0"/>
  </r>
  <r>
    <x v="39"/>
    <d v="2023-11-14T00:00:00"/>
    <x v="2"/>
    <n v="3"/>
    <n v="170"/>
    <n v="12"/>
    <n v="2040"/>
    <n v="238"/>
    <x v="1"/>
    <x v="0"/>
  </r>
  <r>
    <x v="40"/>
    <d v="2023-11-16T00:00:00"/>
    <x v="0"/>
    <n v="1"/>
    <n v="65"/>
    <n v="12"/>
    <n v="780"/>
    <n v="91"/>
    <x v="0"/>
    <x v="0"/>
  </r>
  <r>
    <x v="40"/>
    <d v="2023-11-16T00:00:00"/>
    <x v="0"/>
    <n v="2"/>
    <n v="95"/>
    <n v="12"/>
    <n v="1140"/>
    <n v="133"/>
    <x v="0"/>
    <x v="0"/>
  </r>
  <r>
    <x v="40"/>
    <d v="2023-11-16T00:00:00"/>
    <x v="0"/>
    <n v="3"/>
    <n v="95"/>
    <n v="12"/>
    <n v="1140"/>
    <n v="133"/>
    <x v="0"/>
    <x v="0"/>
  </r>
  <r>
    <x v="40"/>
    <d v="2023-11-16T00:00:00"/>
    <x v="0"/>
    <n v="4"/>
    <n v="95"/>
    <n v="12"/>
    <n v="1140"/>
    <n v="133"/>
    <x v="0"/>
    <x v="0"/>
  </r>
  <r>
    <x v="40"/>
    <d v="2023-11-16T00:00:00"/>
    <x v="13"/>
    <n v="1"/>
    <n v="170"/>
    <n v="12"/>
    <n v="2040"/>
    <n v="238"/>
    <x v="0"/>
    <x v="1"/>
  </r>
  <r>
    <x v="40"/>
    <d v="2023-11-16T00:00:00"/>
    <x v="13"/>
    <n v="2"/>
    <n v="220"/>
    <n v="10"/>
    <n v="2200"/>
    <n v="293.33"/>
    <x v="0"/>
    <x v="1"/>
  </r>
  <r>
    <x v="40"/>
    <d v="2023-11-16T00:00:00"/>
    <x v="13"/>
    <n v="3"/>
    <n v="220"/>
    <n v="10"/>
    <n v="2200"/>
    <n v="293.33"/>
    <x v="0"/>
    <x v="1"/>
  </r>
  <r>
    <x v="40"/>
    <d v="2023-11-16T00:00:00"/>
    <x v="1"/>
    <n v="1"/>
    <n v="70"/>
    <n v="12"/>
    <n v="840"/>
    <n v="98"/>
    <x v="0"/>
    <x v="1"/>
  </r>
  <r>
    <x v="40"/>
    <d v="2023-11-16T00:00:00"/>
    <x v="1"/>
    <n v="2"/>
    <n v="70"/>
    <n v="3"/>
    <n v="210"/>
    <n v="77"/>
    <x v="0"/>
    <x v="1"/>
  </r>
  <r>
    <x v="40"/>
    <d v="2023-11-16T00:00:00"/>
    <x v="1"/>
    <n v="3"/>
    <n v="70"/>
    <n v="9"/>
    <n v="630"/>
    <n v="91"/>
    <x v="0"/>
    <x v="1"/>
  </r>
  <r>
    <x v="40"/>
    <d v="2023-11-16T00:00:00"/>
    <x v="1"/>
    <n v="4"/>
    <n v="70"/>
    <n v="3"/>
    <n v="210"/>
    <n v="77"/>
    <x v="0"/>
    <x v="1"/>
  </r>
  <r>
    <x v="40"/>
    <d v="2023-11-16T00:00:00"/>
    <x v="1"/>
    <n v="5"/>
    <n v="65"/>
    <n v="15"/>
    <n v="975"/>
    <n v="97.5"/>
    <x v="0"/>
    <x v="1"/>
  </r>
  <r>
    <x v="40"/>
    <d v="2023-11-16T00:00:00"/>
    <x v="1"/>
    <n v="6"/>
    <n v="65"/>
    <n v="11"/>
    <n v="715"/>
    <n v="88.83"/>
    <x v="0"/>
    <x v="1"/>
  </r>
  <r>
    <x v="40"/>
    <d v="2023-11-16T00:00:00"/>
    <x v="1"/>
    <n v="7"/>
    <n v="65"/>
    <n v="5"/>
    <n v="325"/>
    <n v="75.83"/>
    <x v="0"/>
    <x v="1"/>
  </r>
  <r>
    <x v="40"/>
    <d v="2023-11-16T00:00:00"/>
    <x v="8"/>
    <n v="1"/>
    <n v="50"/>
    <n v="16"/>
    <n v="800"/>
    <n v="76.67"/>
    <x v="0"/>
    <x v="1"/>
  </r>
  <r>
    <x v="40"/>
    <d v="2023-11-16T00:00:00"/>
    <x v="8"/>
    <n v="2"/>
    <n v="70"/>
    <n v="12"/>
    <n v="840"/>
    <n v="98"/>
    <x v="0"/>
    <x v="1"/>
  </r>
  <r>
    <x v="40"/>
    <d v="2023-11-16T00:00:00"/>
    <x v="8"/>
    <n v="3"/>
    <n v="70"/>
    <n v="12"/>
    <n v="840"/>
    <n v="98"/>
    <x v="0"/>
    <x v="1"/>
  </r>
  <r>
    <x v="40"/>
    <d v="2023-11-16T00:00:00"/>
    <x v="11"/>
    <n v="1"/>
    <n v="171"/>
    <n v="10"/>
    <n v="1710"/>
    <n v="228"/>
    <x v="0"/>
    <x v="0"/>
  </r>
  <r>
    <x v="40"/>
    <d v="2023-11-16T00:00:00"/>
    <x v="11"/>
    <n v="2"/>
    <n v="171"/>
    <n v="10"/>
    <n v="1710"/>
    <n v="228"/>
    <x v="0"/>
    <x v="0"/>
  </r>
  <r>
    <x v="40"/>
    <d v="2023-11-16T00:00:00"/>
    <x v="11"/>
    <n v="3"/>
    <n v="171"/>
    <n v="9"/>
    <n v="1539"/>
    <n v="222.3"/>
    <x v="0"/>
    <x v="0"/>
  </r>
  <r>
    <x v="41"/>
    <d v="2023-11-17T00:00:00"/>
    <x v="10"/>
    <n v="1"/>
    <n v="45"/>
    <n v="16"/>
    <n v="720"/>
    <n v="69"/>
    <x v="2"/>
    <x v="1"/>
  </r>
  <r>
    <x v="41"/>
    <d v="2023-11-17T00:00:00"/>
    <x v="10"/>
    <n v="2"/>
    <n v="100"/>
    <n v="12"/>
    <n v="1200"/>
    <n v="140"/>
    <x v="2"/>
    <x v="1"/>
  </r>
  <r>
    <x v="41"/>
    <d v="2023-11-17T00:00:00"/>
    <x v="10"/>
    <n v="3"/>
    <n v="130"/>
    <n v="8"/>
    <n v="1040"/>
    <n v="164.67"/>
    <x v="2"/>
    <x v="1"/>
  </r>
  <r>
    <x v="41"/>
    <d v="2023-11-17T00:00:00"/>
    <x v="10"/>
    <n v="4"/>
    <n v="125"/>
    <n v="6"/>
    <n v="750"/>
    <n v="150"/>
    <x v="2"/>
    <x v="1"/>
  </r>
  <r>
    <x v="41"/>
    <d v="2023-11-17T00:00:00"/>
    <x v="10"/>
    <n v="5"/>
    <n v="100"/>
    <n v="12"/>
    <n v="1200"/>
    <n v="140"/>
    <x v="2"/>
    <x v="1"/>
  </r>
  <r>
    <x v="41"/>
    <d v="2023-11-17T00:00:00"/>
    <x v="4"/>
    <n v="1"/>
    <n v="65"/>
    <n v="12"/>
    <n v="780"/>
    <n v="91"/>
    <x v="2"/>
    <x v="1"/>
  </r>
  <r>
    <x v="41"/>
    <d v="2023-11-17T00:00:00"/>
    <x v="4"/>
    <n v="2"/>
    <n v="65"/>
    <n v="12"/>
    <n v="780"/>
    <n v="91"/>
    <x v="2"/>
    <x v="1"/>
  </r>
  <r>
    <x v="41"/>
    <d v="2023-11-17T00:00:00"/>
    <x v="4"/>
    <n v="3"/>
    <n v="70"/>
    <n v="7"/>
    <n v="490"/>
    <n v="86.33"/>
    <x v="2"/>
    <x v="1"/>
  </r>
  <r>
    <x v="41"/>
    <d v="2023-11-17T00:00:00"/>
    <x v="5"/>
    <n v="1"/>
    <n v="45"/>
    <n v="10"/>
    <n v="450"/>
    <n v="60"/>
    <x v="2"/>
    <x v="0"/>
  </r>
  <r>
    <x v="41"/>
    <d v="2023-11-17T00:00:00"/>
    <x v="5"/>
    <n v="2"/>
    <n v="65"/>
    <n v="10"/>
    <n v="650"/>
    <n v="86.67"/>
    <x v="2"/>
    <x v="0"/>
  </r>
  <r>
    <x v="41"/>
    <d v="2023-11-17T00:00:00"/>
    <x v="5"/>
    <n v="3"/>
    <n v="65"/>
    <n v="8"/>
    <n v="520"/>
    <n v="82.33"/>
    <x v="2"/>
    <x v="0"/>
  </r>
  <r>
    <x v="41"/>
    <d v="2023-11-17T00:00:00"/>
    <x v="5"/>
    <n v="4"/>
    <n v="45"/>
    <n v="12"/>
    <n v="540"/>
    <n v="63"/>
    <x v="2"/>
    <x v="0"/>
  </r>
  <r>
    <x v="41"/>
    <d v="2023-11-17T00:00:00"/>
    <x v="6"/>
    <n v="1"/>
    <n v="10"/>
    <n v="20"/>
    <n v="200"/>
    <n v="16.670000000000002"/>
    <x v="2"/>
    <x v="1"/>
  </r>
  <r>
    <x v="41"/>
    <d v="2023-11-17T00:00:00"/>
    <x v="6"/>
    <n v="2"/>
    <n v="10"/>
    <n v="20"/>
    <n v="200"/>
    <n v="16.670000000000002"/>
    <x v="2"/>
    <x v="1"/>
  </r>
  <r>
    <x v="41"/>
    <d v="2023-11-17T00:00:00"/>
    <x v="6"/>
    <n v="3"/>
    <n v="10"/>
    <n v="20"/>
    <n v="200"/>
    <n v="16.670000000000002"/>
    <x v="2"/>
    <x v="1"/>
  </r>
  <r>
    <x v="41"/>
    <d v="2023-11-17T00:00:00"/>
    <x v="12"/>
    <n v="1"/>
    <n v="10"/>
    <n v="20"/>
    <n v="200"/>
    <n v="16.670000000000002"/>
    <x v="2"/>
    <x v="1"/>
  </r>
  <r>
    <x v="41"/>
    <d v="2023-11-17T00:00:00"/>
    <x v="12"/>
    <n v="2"/>
    <n v="10"/>
    <n v="20"/>
    <n v="200"/>
    <n v="16.670000000000002"/>
    <x v="2"/>
    <x v="1"/>
  </r>
  <r>
    <x v="41"/>
    <d v="2023-11-17T00:00:00"/>
    <x v="12"/>
    <n v="3"/>
    <n v="10"/>
    <n v="20"/>
    <n v="200"/>
    <n v="16.670000000000002"/>
    <x v="2"/>
    <x v="1"/>
  </r>
  <r>
    <x v="42"/>
    <d v="2023-11-19T00:00:00"/>
    <x v="7"/>
    <n v="1"/>
    <n v="135"/>
    <n v="10"/>
    <n v="1350"/>
    <n v="180"/>
    <x v="1"/>
    <x v="1"/>
  </r>
  <r>
    <x v="42"/>
    <d v="2023-11-19T00:00:00"/>
    <x v="7"/>
    <n v="2"/>
    <n v="170"/>
    <n v="8"/>
    <n v="1360"/>
    <n v="215.33"/>
    <x v="1"/>
    <x v="1"/>
  </r>
  <r>
    <x v="42"/>
    <d v="2023-11-19T00:00:00"/>
    <x v="7"/>
    <n v="3"/>
    <n v="160"/>
    <n v="4"/>
    <n v="640"/>
    <n v="181.33"/>
    <x v="1"/>
    <x v="1"/>
  </r>
  <r>
    <x v="42"/>
    <d v="2023-11-19T00:00:00"/>
    <x v="9"/>
    <n v="1"/>
    <n v="45"/>
    <n v="12"/>
    <n v="540"/>
    <n v="63"/>
    <x v="1"/>
    <x v="0"/>
  </r>
  <r>
    <x v="42"/>
    <d v="2023-11-19T00:00:00"/>
    <x v="9"/>
    <n v="2"/>
    <n v="80"/>
    <n v="12"/>
    <n v="960"/>
    <n v="112"/>
    <x v="1"/>
    <x v="0"/>
  </r>
  <r>
    <x v="42"/>
    <d v="2023-11-19T00:00:00"/>
    <x v="9"/>
    <n v="3"/>
    <n v="110"/>
    <n v="10"/>
    <n v="1100"/>
    <n v="146.66999999999999"/>
    <x v="1"/>
    <x v="0"/>
  </r>
  <r>
    <x v="42"/>
    <d v="2023-11-19T00:00:00"/>
    <x v="9"/>
    <n v="4"/>
    <n v="120"/>
    <n v="12"/>
    <n v="1440"/>
    <n v="168"/>
    <x v="1"/>
    <x v="0"/>
  </r>
  <r>
    <x v="42"/>
    <d v="2023-11-19T00:00:00"/>
    <x v="9"/>
    <n v="5"/>
    <n v="120"/>
    <n v="10"/>
    <n v="1200"/>
    <n v="160"/>
    <x v="1"/>
    <x v="0"/>
  </r>
  <r>
    <x v="42"/>
    <d v="2023-11-19T00:00:00"/>
    <x v="2"/>
    <n v="1"/>
    <n v="170"/>
    <n v="12"/>
    <n v="2040"/>
    <n v="238"/>
    <x v="1"/>
    <x v="0"/>
  </r>
  <r>
    <x v="42"/>
    <d v="2023-11-19T00:00:00"/>
    <x v="2"/>
    <n v="2"/>
    <n v="170"/>
    <n v="12"/>
    <n v="2040"/>
    <n v="238"/>
    <x v="1"/>
    <x v="0"/>
  </r>
  <r>
    <x v="42"/>
    <d v="2023-11-19T00:00:00"/>
    <x v="2"/>
    <n v="3"/>
    <n v="185"/>
    <n v="12"/>
    <n v="2220"/>
    <n v="259"/>
    <x v="1"/>
    <x v="0"/>
  </r>
  <r>
    <x v="43"/>
    <d v="2023-11-20T00:00:00"/>
    <x v="3"/>
    <n v="1"/>
    <n v="45"/>
    <n v="14"/>
    <n v="630"/>
    <n v="66"/>
    <x v="2"/>
    <x v="0"/>
  </r>
  <r>
    <x v="43"/>
    <d v="2023-11-20T00:00:00"/>
    <x v="3"/>
    <n v="2"/>
    <n v="95"/>
    <n v="12"/>
    <n v="1140"/>
    <n v="133"/>
    <x v="2"/>
    <x v="0"/>
  </r>
  <r>
    <x v="43"/>
    <d v="2023-11-20T00:00:00"/>
    <x v="3"/>
    <n v="3"/>
    <n v="130"/>
    <n v="10"/>
    <n v="1300"/>
    <n v="173.33"/>
    <x v="2"/>
    <x v="0"/>
  </r>
  <r>
    <x v="43"/>
    <d v="2023-11-20T00:00:00"/>
    <x v="3"/>
    <n v="4"/>
    <n v="135"/>
    <n v="6"/>
    <n v="810"/>
    <n v="162"/>
    <x v="2"/>
    <x v="0"/>
  </r>
  <r>
    <x v="43"/>
    <d v="2023-11-20T00:00:00"/>
    <x v="4"/>
    <n v="1"/>
    <n v="65"/>
    <n v="11"/>
    <n v="715"/>
    <n v="88.83"/>
    <x v="2"/>
    <x v="1"/>
  </r>
  <r>
    <x v="43"/>
    <d v="2023-11-20T00:00:00"/>
    <x v="4"/>
    <n v="2"/>
    <n v="70"/>
    <n v="9"/>
    <n v="630"/>
    <n v="91"/>
    <x v="2"/>
    <x v="1"/>
  </r>
  <r>
    <x v="43"/>
    <d v="2023-11-20T00:00:00"/>
    <x v="4"/>
    <n v="3"/>
    <n v="65"/>
    <n v="10"/>
    <n v="650"/>
    <n v="86.67"/>
    <x v="2"/>
    <x v="1"/>
  </r>
  <r>
    <x v="43"/>
    <d v="2023-11-20T00:00:00"/>
    <x v="5"/>
    <n v="1"/>
    <n v="45"/>
    <n v="11"/>
    <n v="495"/>
    <n v="61.5"/>
    <x v="2"/>
    <x v="0"/>
  </r>
  <r>
    <x v="43"/>
    <d v="2023-11-20T00:00:00"/>
    <x v="5"/>
    <n v="2"/>
    <n v="75"/>
    <n v="10"/>
    <n v="750"/>
    <n v="100"/>
    <x v="2"/>
    <x v="0"/>
  </r>
  <r>
    <x v="43"/>
    <d v="2023-11-20T00:00:00"/>
    <x v="5"/>
    <n v="3"/>
    <n v="80"/>
    <n v="7"/>
    <n v="560"/>
    <n v="98.67"/>
    <x v="2"/>
    <x v="0"/>
  </r>
  <r>
    <x v="43"/>
    <d v="2023-11-20T00:00:00"/>
    <x v="5"/>
    <n v="4"/>
    <n v="65"/>
    <n v="10"/>
    <n v="650"/>
    <n v="86.67"/>
    <x v="2"/>
    <x v="0"/>
  </r>
  <r>
    <x v="43"/>
    <d v="2023-11-20T00:00:00"/>
    <x v="6"/>
    <n v="1"/>
    <n v="10"/>
    <n v="20"/>
    <n v="200"/>
    <n v="16.670000000000002"/>
    <x v="2"/>
    <x v="1"/>
  </r>
  <r>
    <x v="43"/>
    <d v="2023-11-20T00:00:00"/>
    <x v="6"/>
    <n v="2"/>
    <n v="10"/>
    <n v="20"/>
    <n v="200"/>
    <n v="16.670000000000002"/>
    <x v="2"/>
    <x v="1"/>
  </r>
  <r>
    <x v="43"/>
    <d v="2023-11-20T00:00:00"/>
    <x v="6"/>
    <n v="3"/>
    <n v="10"/>
    <n v="20"/>
    <n v="200"/>
    <n v="16.670000000000002"/>
    <x v="2"/>
    <x v="1"/>
  </r>
  <r>
    <x v="43"/>
    <d v="2023-11-20T00:00:00"/>
    <x v="12"/>
    <n v="1"/>
    <n v="10"/>
    <n v="20"/>
    <n v="200"/>
    <n v="16.670000000000002"/>
    <x v="2"/>
    <x v="1"/>
  </r>
  <r>
    <x v="43"/>
    <d v="2023-11-20T00:00:00"/>
    <x v="12"/>
    <n v="2"/>
    <n v="10"/>
    <n v="21"/>
    <n v="210"/>
    <n v="17"/>
    <x v="2"/>
    <x v="1"/>
  </r>
  <r>
    <x v="43"/>
    <d v="2023-11-20T00:00:00"/>
    <x v="12"/>
    <n v="3"/>
    <n v="10"/>
    <n v="20"/>
    <n v="200"/>
    <n v="16.670000000000002"/>
    <x v="2"/>
    <x v="1"/>
  </r>
  <r>
    <x v="44"/>
    <d v="2023-11-23T00:00:00"/>
    <x v="7"/>
    <n v="1"/>
    <n v="140"/>
    <n v="12"/>
    <n v="1680"/>
    <n v="196"/>
    <x v="1"/>
    <x v="1"/>
  </r>
  <r>
    <x v="44"/>
    <d v="2023-11-23T00:00:00"/>
    <x v="7"/>
    <n v="2"/>
    <n v="165"/>
    <n v="10"/>
    <n v="1650"/>
    <n v="220"/>
    <x v="1"/>
    <x v="1"/>
  </r>
  <r>
    <x v="44"/>
    <d v="2023-11-23T00:00:00"/>
    <x v="7"/>
    <n v="3"/>
    <n v="165"/>
    <n v="6"/>
    <n v="990"/>
    <n v="198"/>
    <x v="1"/>
    <x v="1"/>
  </r>
  <r>
    <x v="44"/>
    <d v="2023-11-23T00:00:00"/>
    <x v="9"/>
    <n v="1"/>
    <n v="45"/>
    <n v="15"/>
    <n v="675"/>
    <n v="67.5"/>
    <x v="1"/>
    <x v="0"/>
  </r>
  <r>
    <x v="44"/>
    <d v="2023-11-23T00:00:00"/>
    <x v="9"/>
    <n v="2"/>
    <n v="80"/>
    <n v="12"/>
    <n v="960"/>
    <n v="112"/>
    <x v="1"/>
    <x v="0"/>
  </r>
  <r>
    <x v="44"/>
    <d v="2023-11-23T00:00:00"/>
    <x v="9"/>
    <n v="3"/>
    <n v="125"/>
    <n v="10"/>
    <n v="1250"/>
    <n v="166.67"/>
    <x v="1"/>
    <x v="0"/>
  </r>
  <r>
    <x v="44"/>
    <d v="2023-11-23T00:00:00"/>
    <x v="9"/>
    <n v="4"/>
    <n v="115"/>
    <n v="12"/>
    <n v="1380"/>
    <n v="161"/>
    <x v="1"/>
    <x v="0"/>
  </r>
  <r>
    <x v="44"/>
    <d v="2023-11-23T00:00:00"/>
    <x v="9"/>
    <n v="5"/>
    <n v="115"/>
    <n v="12"/>
    <n v="1380"/>
    <n v="161"/>
    <x v="1"/>
    <x v="0"/>
  </r>
  <r>
    <x v="44"/>
    <d v="2023-11-23T00:00:00"/>
    <x v="2"/>
    <n v="1"/>
    <n v="185"/>
    <n v="10"/>
    <n v="1850"/>
    <n v="246.67"/>
    <x v="1"/>
    <x v="0"/>
  </r>
  <r>
    <x v="44"/>
    <d v="2023-11-23T00:00:00"/>
    <x v="2"/>
    <n v="2"/>
    <n v="185"/>
    <n v="12"/>
    <n v="2220"/>
    <n v="259"/>
    <x v="1"/>
    <x v="0"/>
  </r>
  <r>
    <x v="44"/>
    <d v="2023-11-23T00:00:00"/>
    <x v="2"/>
    <n v="3"/>
    <n v="185"/>
    <n v="12"/>
    <n v="2220"/>
    <n v="259"/>
    <x v="1"/>
    <x v="0"/>
  </r>
  <r>
    <x v="45"/>
    <d v="2023-11-24T00:00:00"/>
    <x v="3"/>
    <n v="1"/>
    <n v="45"/>
    <n v="16"/>
    <n v="720"/>
    <n v="69"/>
    <x v="2"/>
    <x v="0"/>
  </r>
  <r>
    <x v="45"/>
    <d v="2023-11-24T00:00:00"/>
    <x v="3"/>
    <n v="2"/>
    <n v="95"/>
    <n v="12"/>
    <n v="1140"/>
    <n v="133"/>
    <x v="2"/>
    <x v="0"/>
  </r>
  <r>
    <x v="45"/>
    <d v="2023-11-24T00:00:00"/>
    <x v="3"/>
    <n v="3"/>
    <n v="130"/>
    <n v="12"/>
    <n v="1560"/>
    <n v="182"/>
    <x v="2"/>
    <x v="0"/>
  </r>
  <r>
    <x v="45"/>
    <d v="2023-11-24T00:00:00"/>
    <x v="3"/>
    <n v="4"/>
    <n v="140"/>
    <n v="7"/>
    <n v="980"/>
    <n v="172.67"/>
    <x v="2"/>
    <x v="0"/>
  </r>
  <r>
    <x v="45"/>
    <d v="2023-11-24T00:00:00"/>
    <x v="3"/>
    <n v="5"/>
    <n v="95"/>
    <n v="12"/>
    <n v="1140"/>
    <n v="133"/>
    <x v="2"/>
    <x v="0"/>
  </r>
  <r>
    <x v="45"/>
    <d v="2023-11-24T00:00:00"/>
    <x v="4"/>
    <n v="1"/>
    <n v="65"/>
    <n v="13"/>
    <n v="845"/>
    <n v="93.17"/>
    <x v="2"/>
    <x v="1"/>
  </r>
  <r>
    <x v="45"/>
    <d v="2023-11-24T00:00:00"/>
    <x v="4"/>
    <n v="2"/>
    <n v="70"/>
    <n v="7"/>
    <n v="490"/>
    <n v="86.33"/>
    <x v="2"/>
    <x v="1"/>
  </r>
  <r>
    <x v="45"/>
    <d v="2023-11-24T00:00:00"/>
    <x v="5"/>
    <n v="1"/>
    <n v="45"/>
    <n v="12"/>
    <n v="540"/>
    <n v="63"/>
    <x v="2"/>
    <x v="0"/>
  </r>
  <r>
    <x v="45"/>
    <d v="2023-11-24T00:00:00"/>
    <x v="5"/>
    <n v="2"/>
    <n v="80"/>
    <n v="9"/>
    <n v="720"/>
    <n v="104"/>
    <x v="2"/>
    <x v="0"/>
  </r>
  <r>
    <x v="45"/>
    <d v="2023-11-24T00:00:00"/>
    <x v="5"/>
    <n v="3"/>
    <n v="75"/>
    <n v="10"/>
    <n v="750"/>
    <n v="100"/>
    <x v="2"/>
    <x v="0"/>
  </r>
  <r>
    <x v="45"/>
    <d v="2023-11-24T00:00:00"/>
    <x v="5"/>
    <n v="4"/>
    <n v="75"/>
    <n v="8"/>
    <n v="600"/>
    <n v="95"/>
    <x v="2"/>
    <x v="0"/>
  </r>
  <r>
    <x v="45"/>
    <d v="2023-11-24T00:00:00"/>
    <x v="6"/>
    <n v="1"/>
    <n v="15"/>
    <n v="20"/>
    <n v="300"/>
    <n v="25"/>
    <x v="2"/>
    <x v="1"/>
  </r>
  <r>
    <x v="45"/>
    <d v="2023-11-24T00:00:00"/>
    <x v="6"/>
    <n v="2"/>
    <n v="15"/>
    <n v="20"/>
    <n v="300"/>
    <n v="25"/>
    <x v="2"/>
    <x v="1"/>
  </r>
  <r>
    <x v="45"/>
    <d v="2023-11-24T00:00:00"/>
    <x v="6"/>
    <n v="3"/>
    <n v="15"/>
    <n v="20"/>
    <n v="300"/>
    <n v="25"/>
    <x v="2"/>
    <x v="1"/>
  </r>
  <r>
    <x v="45"/>
    <d v="2023-11-24T00:00:00"/>
    <x v="14"/>
    <n v="1"/>
    <n v="20"/>
    <n v="20"/>
    <n v="400"/>
    <n v="33.33"/>
    <x v="2"/>
    <x v="1"/>
  </r>
  <r>
    <x v="45"/>
    <d v="2023-11-24T00:00:00"/>
    <x v="14"/>
    <n v="2"/>
    <n v="20"/>
    <n v="20"/>
    <n v="400"/>
    <n v="33.33"/>
    <x v="2"/>
    <x v="1"/>
  </r>
  <r>
    <x v="45"/>
    <d v="2023-11-24T00:00:00"/>
    <x v="12"/>
    <n v="1"/>
    <n v="10"/>
    <n v="20"/>
    <n v="200"/>
    <n v="16.670000000000002"/>
    <x v="2"/>
    <x v="1"/>
  </r>
  <r>
    <x v="45"/>
    <d v="2023-11-24T00:00:00"/>
    <x v="12"/>
    <n v="2"/>
    <n v="15"/>
    <n v="20"/>
    <n v="300"/>
    <n v="25"/>
    <x v="2"/>
    <x v="1"/>
  </r>
  <r>
    <x v="45"/>
    <d v="2023-11-24T00:00:00"/>
    <x v="12"/>
    <n v="3"/>
    <n v="15"/>
    <n v="20"/>
    <n v="300"/>
    <n v="25"/>
    <x v="2"/>
    <x v="1"/>
  </r>
  <r>
    <x v="46"/>
    <d v="2023-11-26T00:00:00"/>
    <x v="0"/>
    <n v="1"/>
    <n v="45"/>
    <n v="15"/>
    <n v="675"/>
    <n v="67.5"/>
    <x v="0"/>
    <x v="0"/>
  </r>
  <r>
    <x v="46"/>
    <d v="2023-11-26T00:00:00"/>
    <x v="0"/>
    <n v="2"/>
    <n v="45"/>
    <n v="15"/>
    <n v="675"/>
    <n v="67.5"/>
    <x v="0"/>
    <x v="0"/>
  </r>
  <r>
    <x v="46"/>
    <d v="2023-11-26T00:00:00"/>
    <x v="0"/>
    <n v="3"/>
    <n v="55"/>
    <n v="15"/>
    <n v="825"/>
    <n v="82.5"/>
    <x v="0"/>
    <x v="0"/>
  </r>
  <r>
    <x v="46"/>
    <d v="2023-11-26T00:00:00"/>
    <x v="0"/>
    <n v="4"/>
    <n v="65"/>
    <n v="15"/>
    <n v="975"/>
    <n v="97.5"/>
    <x v="0"/>
    <x v="0"/>
  </r>
  <r>
    <x v="46"/>
    <d v="2023-11-26T00:00:00"/>
    <x v="1"/>
    <n v="1"/>
    <n v="65"/>
    <n v="12"/>
    <n v="780"/>
    <n v="91"/>
    <x v="0"/>
    <x v="1"/>
  </r>
  <r>
    <x v="46"/>
    <d v="2023-11-26T00:00:00"/>
    <x v="1"/>
    <n v="2"/>
    <n v="70"/>
    <n v="11"/>
    <n v="770"/>
    <n v="95.67"/>
    <x v="0"/>
    <x v="1"/>
  </r>
  <r>
    <x v="46"/>
    <d v="2023-11-26T00:00:00"/>
    <x v="1"/>
    <n v="3"/>
    <n v="70"/>
    <n v="9"/>
    <n v="630"/>
    <n v="91"/>
    <x v="0"/>
    <x v="1"/>
  </r>
  <r>
    <x v="46"/>
    <d v="2023-11-26T00:00:00"/>
    <x v="8"/>
    <n v="1"/>
    <n v="50"/>
    <n v="15"/>
    <n v="750"/>
    <n v="75"/>
    <x v="0"/>
    <x v="1"/>
  </r>
  <r>
    <x v="46"/>
    <d v="2023-11-26T00:00:00"/>
    <x v="8"/>
    <n v="2"/>
    <n v="95"/>
    <n v="10"/>
    <n v="950"/>
    <n v="126.67"/>
    <x v="0"/>
    <x v="1"/>
  </r>
  <r>
    <x v="46"/>
    <d v="2023-11-26T00:00:00"/>
    <x v="11"/>
    <n v="1"/>
    <n v="171"/>
    <n v="10"/>
    <n v="1710"/>
    <n v="228"/>
    <x v="0"/>
    <x v="0"/>
  </r>
  <r>
    <x v="46"/>
    <d v="2023-11-26T00:00:00"/>
    <x v="11"/>
    <n v="2"/>
    <n v="174"/>
    <n v="10"/>
    <n v="1740"/>
    <n v="232"/>
    <x v="0"/>
    <x v="0"/>
  </r>
  <r>
    <x v="46"/>
    <d v="2023-11-26T00:00:00"/>
    <x v="11"/>
    <n v="3"/>
    <n v="171"/>
    <n v="9"/>
    <n v="1539"/>
    <n v="222.3"/>
    <x v="0"/>
    <x v="0"/>
  </r>
  <r>
    <x v="46"/>
    <d v="2023-11-26T00:00:00"/>
    <x v="11"/>
    <n v="4"/>
    <n v="174"/>
    <n v="8"/>
    <n v="1392"/>
    <n v="220.4"/>
    <x v="0"/>
    <x v="0"/>
  </r>
  <r>
    <x v="46"/>
    <d v="2023-11-26T00:00:00"/>
    <x v="15"/>
    <n v="1"/>
    <n v="65"/>
    <n v="20"/>
    <n v="1300"/>
    <n v="108.33"/>
    <x v="0"/>
    <x v="1"/>
  </r>
  <r>
    <x v="46"/>
    <d v="2023-11-26T00:00:00"/>
    <x v="15"/>
    <n v="2"/>
    <n v="65"/>
    <n v="20"/>
    <n v="1300"/>
    <n v="108.33"/>
    <x v="0"/>
    <x v="1"/>
  </r>
  <r>
    <x v="46"/>
    <d v="2023-11-26T00:00:00"/>
    <x v="15"/>
    <n v="3"/>
    <n v="75"/>
    <n v="20"/>
    <n v="1500"/>
    <n v="125"/>
    <x v="0"/>
    <x v="1"/>
  </r>
  <r>
    <x v="47"/>
    <d v="2023-11-27T00:00:00"/>
    <x v="3"/>
    <n v="1"/>
    <n v="45"/>
    <n v="15"/>
    <n v="675"/>
    <n v="67.5"/>
    <x v="2"/>
    <x v="0"/>
  </r>
  <r>
    <x v="47"/>
    <d v="2023-11-27T00:00:00"/>
    <x v="3"/>
    <n v="2"/>
    <n v="95"/>
    <n v="12"/>
    <n v="1140"/>
    <n v="133"/>
    <x v="2"/>
    <x v="0"/>
  </r>
  <r>
    <x v="47"/>
    <d v="2023-11-27T00:00:00"/>
    <x v="3"/>
    <n v="3"/>
    <n v="135"/>
    <n v="10"/>
    <n v="1350"/>
    <n v="180"/>
    <x v="2"/>
    <x v="0"/>
  </r>
  <r>
    <x v="47"/>
    <d v="2023-11-27T00:00:00"/>
    <x v="3"/>
    <n v="4"/>
    <n v="145"/>
    <n v="6"/>
    <n v="870"/>
    <n v="174"/>
    <x v="2"/>
    <x v="0"/>
  </r>
  <r>
    <x v="47"/>
    <d v="2023-11-27T00:00:00"/>
    <x v="3"/>
    <n v="5"/>
    <n v="95"/>
    <n v="16"/>
    <n v="1520"/>
    <n v="145.66999999999999"/>
    <x v="2"/>
    <x v="0"/>
  </r>
  <r>
    <x v="47"/>
    <d v="2023-11-27T00:00:00"/>
    <x v="4"/>
    <n v="1"/>
    <n v="65"/>
    <n v="14"/>
    <n v="910"/>
    <n v="95.33"/>
    <x v="2"/>
    <x v="1"/>
  </r>
  <r>
    <x v="47"/>
    <d v="2023-11-27T00:00:00"/>
    <x v="4"/>
    <n v="2"/>
    <n v="70"/>
    <n v="9"/>
    <n v="630"/>
    <n v="91"/>
    <x v="2"/>
    <x v="1"/>
  </r>
  <r>
    <x v="47"/>
    <d v="2023-11-27T00:00:00"/>
    <x v="4"/>
    <n v="3"/>
    <n v="65"/>
    <n v="11"/>
    <n v="715"/>
    <n v="88.83"/>
    <x v="2"/>
    <x v="1"/>
  </r>
  <r>
    <x v="47"/>
    <d v="2023-11-27T00:00:00"/>
    <x v="5"/>
    <n v="1"/>
    <n v="45"/>
    <n v="12"/>
    <n v="540"/>
    <n v="63"/>
    <x v="2"/>
    <x v="0"/>
  </r>
  <r>
    <x v="47"/>
    <d v="2023-11-27T00:00:00"/>
    <x v="5"/>
    <n v="2"/>
    <n v="80"/>
    <n v="10"/>
    <n v="800"/>
    <n v="106.67"/>
    <x v="2"/>
    <x v="0"/>
  </r>
  <r>
    <x v="47"/>
    <d v="2023-11-27T00:00:00"/>
    <x v="5"/>
    <n v="3"/>
    <n v="80"/>
    <n v="9"/>
    <n v="720"/>
    <n v="104"/>
    <x v="2"/>
    <x v="0"/>
  </r>
  <r>
    <x v="47"/>
    <d v="2023-11-27T00:00:00"/>
    <x v="5"/>
    <n v="4"/>
    <n v="75"/>
    <n v="9"/>
    <n v="675"/>
    <n v="97.5"/>
    <x v="2"/>
    <x v="0"/>
  </r>
  <r>
    <x v="47"/>
    <d v="2023-11-27T00:00:00"/>
    <x v="6"/>
    <n v="1"/>
    <n v="15"/>
    <n v="20"/>
    <n v="300"/>
    <n v="25"/>
    <x v="2"/>
    <x v="1"/>
  </r>
  <r>
    <x v="47"/>
    <d v="2023-11-27T00:00:00"/>
    <x v="6"/>
    <n v="2"/>
    <n v="15"/>
    <n v="20"/>
    <n v="300"/>
    <n v="25"/>
    <x v="2"/>
    <x v="1"/>
  </r>
  <r>
    <x v="47"/>
    <d v="2023-11-27T00:00:00"/>
    <x v="6"/>
    <n v="3"/>
    <n v="15"/>
    <n v="20"/>
    <n v="300"/>
    <n v="25"/>
    <x v="2"/>
    <x v="1"/>
  </r>
  <r>
    <x v="47"/>
    <d v="2023-11-27T00:00:00"/>
    <x v="12"/>
    <n v="1"/>
    <n v="15"/>
    <n v="20"/>
    <n v="300"/>
    <n v="25"/>
    <x v="2"/>
    <x v="1"/>
  </r>
  <r>
    <x v="47"/>
    <d v="2023-11-27T00:00:00"/>
    <x v="12"/>
    <n v="2"/>
    <n v="15"/>
    <n v="20"/>
    <n v="300"/>
    <n v="25"/>
    <x v="2"/>
    <x v="1"/>
  </r>
  <r>
    <x v="47"/>
    <d v="2023-11-27T00:00:00"/>
    <x v="12"/>
    <n v="3"/>
    <n v="15"/>
    <n v="20"/>
    <n v="300"/>
    <n v="25"/>
    <x v="2"/>
    <x v="1"/>
  </r>
  <r>
    <x v="48"/>
    <d v="2023-11-28T00:00:00"/>
    <x v="9"/>
    <n v="1"/>
    <n v="45"/>
    <n v="16"/>
    <n v="720"/>
    <n v="69"/>
    <x v="1"/>
    <x v="0"/>
  </r>
  <r>
    <x v="48"/>
    <d v="2023-11-28T00:00:00"/>
    <x v="9"/>
    <n v="2"/>
    <n v="80"/>
    <n v="12"/>
    <n v="960"/>
    <n v="112"/>
    <x v="1"/>
    <x v="0"/>
  </r>
  <r>
    <x v="48"/>
    <d v="2023-11-28T00:00:00"/>
    <x v="9"/>
    <n v="3"/>
    <n v="135"/>
    <n v="10"/>
    <n v="1350"/>
    <n v="180"/>
    <x v="1"/>
    <x v="0"/>
  </r>
  <r>
    <x v="48"/>
    <d v="2023-11-28T00:00:00"/>
    <x v="9"/>
    <n v="4"/>
    <n v="120"/>
    <n v="12"/>
    <n v="1440"/>
    <n v="168"/>
    <x v="1"/>
    <x v="0"/>
  </r>
  <r>
    <x v="48"/>
    <d v="2023-11-28T00:00:00"/>
    <x v="9"/>
    <n v="5"/>
    <n v="120"/>
    <n v="10"/>
    <n v="1200"/>
    <n v="160"/>
    <x v="1"/>
    <x v="0"/>
  </r>
  <r>
    <x v="48"/>
    <d v="2023-11-28T00:00:00"/>
    <x v="2"/>
    <n v="1"/>
    <n v="185"/>
    <n v="12"/>
    <n v="2220"/>
    <n v="259"/>
    <x v="1"/>
    <x v="0"/>
  </r>
  <r>
    <x v="48"/>
    <d v="2023-11-28T00:00:00"/>
    <x v="2"/>
    <n v="2"/>
    <n v="190"/>
    <n v="12"/>
    <n v="2280"/>
    <n v="266"/>
    <x v="1"/>
    <x v="0"/>
  </r>
  <r>
    <x v="48"/>
    <d v="2023-11-28T00:00:00"/>
    <x v="2"/>
    <n v="3"/>
    <n v="205"/>
    <n v="10"/>
    <n v="2050"/>
    <n v="273.33"/>
    <x v="1"/>
    <x v="0"/>
  </r>
  <r>
    <x v="49"/>
    <d v="2023-12-05T00:00:00"/>
    <x v="0"/>
    <n v="1"/>
    <n v="45"/>
    <n v="15"/>
    <n v="675"/>
    <n v="67.5"/>
    <x v="0"/>
    <x v="0"/>
  </r>
  <r>
    <x v="49"/>
    <d v="2023-12-05T00:00:00"/>
    <x v="0"/>
    <n v="2"/>
    <n v="65"/>
    <n v="15"/>
    <n v="975"/>
    <n v="97.5"/>
    <x v="0"/>
    <x v="0"/>
  </r>
  <r>
    <x v="49"/>
    <d v="2023-12-05T00:00:00"/>
    <x v="0"/>
    <n v="3"/>
    <n v="65"/>
    <n v="15"/>
    <n v="975"/>
    <n v="97.5"/>
    <x v="0"/>
    <x v="0"/>
  </r>
  <r>
    <x v="49"/>
    <d v="2023-12-05T00:00:00"/>
    <x v="0"/>
    <n v="4"/>
    <n v="65"/>
    <n v="15"/>
    <n v="975"/>
    <n v="97.5"/>
    <x v="0"/>
    <x v="0"/>
  </r>
  <r>
    <x v="49"/>
    <d v="2023-12-05T00:00:00"/>
    <x v="1"/>
    <n v="1"/>
    <n v="65"/>
    <n v="15"/>
    <n v="975"/>
    <n v="97.5"/>
    <x v="0"/>
    <x v="1"/>
  </r>
  <r>
    <x v="49"/>
    <d v="2023-12-05T00:00:00"/>
    <x v="1"/>
    <n v="2"/>
    <n v="65"/>
    <n v="12"/>
    <n v="780"/>
    <n v="91"/>
    <x v="0"/>
    <x v="1"/>
  </r>
  <r>
    <x v="49"/>
    <d v="2023-12-05T00:00:00"/>
    <x v="1"/>
    <n v="3"/>
    <n v="65"/>
    <n v="10"/>
    <n v="650"/>
    <n v="86.67"/>
    <x v="0"/>
    <x v="1"/>
  </r>
  <r>
    <x v="49"/>
    <d v="2023-12-05T00:00:00"/>
    <x v="8"/>
    <n v="1"/>
    <n v="50"/>
    <n v="15"/>
    <n v="750"/>
    <n v="75"/>
    <x v="0"/>
    <x v="1"/>
  </r>
  <r>
    <x v="49"/>
    <d v="2023-12-05T00:00:00"/>
    <x v="8"/>
    <n v="2"/>
    <n v="70"/>
    <n v="12"/>
    <n v="840"/>
    <n v="98"/>
    <x v="0"/>
    <x v="1"/>
  </r>
  <r>
    <x v="49"/>
    <d v="2023-12-05T00:00:00"/>
    <x v="8"/>
    <n v="3"/>
    <n v="90"/>
    <n v="10"/>
    <n v="900"/>
    <n v="120"/>
    <x v="0"/>
    <x v="1"/>
  </r>
  <r>
    <x v="49"/>
    <d v="2023-12-05T00:00:00"/>
    <x v="11"/>
    <n v="1"/>
    <n v="172"/>
    <n v="10"/>
    <n v="1720"/>
    <n v="229.33"/>
    <x v="0"/>
    <x v="0"/>
  </r>
  <r>
    <x v="49"/>
    <d v="2023-12-05T00:00:00"/>
    <x v="11"/>
    <n v="2"/>
    <n v="177"/>
    <n v="10"/>
    <n v="1770"/>
    <n v="236"/>
    <x v="0"/>
    <x v="0"/>
  </r>
  <r>
    <x v="49"/>
    <d v="2023-12-05T00:00:00"/>
    <x v="11"/>
    <n v="3"/>
    <n v="172"/>
    <n v="10"/>
    <n v="1720"/>
    <n v="229.33"/>
    <x v="0"/>
    <x v="0"/>
  </r>
  <r>
    <x v="49"/>
    <d v="2023-12-05T00:00:00"/>
    <x v="11"/>
    <n v="4"/>
    <n v="177"/>
    <n v="8"/>
    <n v="1416"/>
    <n v="224.2"/>
    <x v="0"/>
    <x v="0"/>
  </r>
  <r>
    <x v="49"/>
    <d v="2023-12-05T00:00:00"/>
    <x v="15"/>
    <n v="1"/>
    <n v="65"/>
    <n v="20"/>
    <n v="1300"/>
    <n v="108.33"/>
    <x v="0"/>
    <x v="1"/>
  </r>
  <r>
    <x v="49"/>
    <d v="2023-12-05T00:00:00"/>
    <x v="15"/>
    <n v="2"/>
    <n v="50"/>
    <n v="20"/>
    <n v="1000"/>
    <n v="83.33"/>
    <x v="0"/>
    <x v="1"/>
  </r>
  <r>
    <x v="49"/>
    <d v="2023-12-05T00:00:00"/>
    <x v="15"/>
    <n v="3"/>
    <n v="70"/>
    <n v="20"/>
    <n v="1400"/>
    <n v="116.67"/>
    <x v="0"/>
    <x v="1"/>
  </r>
  <r>
    <x v="50"/>
    <d v="2023-12-06T00:00:00"/>
    <x v="3"/>
    <n v="1"/>
    <n v="45"/>
    <n v="15"/>
    <n v="675"/>
    <n v="67.5"/>
    <x v="2"/>
    <x v="0"/>
  </r>
  <r>
    <x v="50"/>
    <d v="2023-12-06T00:00:00"/>
    <x v="3"/>
    <n v="2"/>
    <n v="95"/>
    <n v="12"/>
    <n v="1140"/>
    <n v="133"/>
    <x v="2"/>
    <x v="0"/>
  </r>
  <r>
    <x v="50"/>
    <d v="2023-12-06T00:00:00"/>
    <x v="3"/>
    <n v="3"/>
    <n v="140"/>
    <n v="10"/>
    <n v="1400"/>
    <n v="186.67"/>
    <x v="2"/>
    <x v="0"/>
  </r>
  <r>
    <x v="50"/>
    <d v="2023-12-06T00:00:00"/>
    <x v="3"/>
    <n v="4"/>
    <n v="150"/>
    <n v="6"/>
    <n v="900"/>
    <n v="180"/>
    <x v="2"/>
    <x v="0"/>
  </r>
  <r>
    <x v="50"/>
    <d v="2023-12-06T00:00:00"/>
    <x v="3"/>
    <n v="5"/>
    <n v="95"/>
    <n v="18"/>
    <n v="1710"/>
    <n v="152"/>
    <x v="2"/>
    <x v="0"/>
  </r>
  <r>
    <x v="50"/>
    <d v="2023-12-06T00:00:00"/>
    <x v="4"/>
    <n v="1"/>
    <n v="70"/>
    <n v="13"/>
    <n v="910"/>
    <n v="100.33"/>
    <x v="2"/>
    <x v="1"/>
  </r>
  <r>
    <x v="50"/>
    <d v="2023-12-06T00:00:00"/>
    <x v="4"/>
    <n v="2"/>
    <n v="70"/>
    <n v="10"/>
    <n v="700"/>
    <n v="93.33"/>
    <x v="2"/>
    <x v="1"/>
  </r>
  <r>
    <x v="50"/>
    <d v="2023-12-06T00:00:00"/>
    <x v="4"/>
    <n v="3"/>
    <n v="65"/>
    <n v="10"/>
    <n v="650"/>
    <n v="86.67"/>
    <x v="2"/>
    <x v="1"/>
  </r>
  <r>
    <x v="50"/>
    <d v="2023-12-06T00:00:00"/>
    <x v="5"/>
    <n v="1"/>
    <n v="45"/>
    <n v="12"/>
    <n v="540"/>
    <n v="63"/>
    <x v="2"/>
    <x v="0"/>
  </r>
  <r>
    <x v="50"/>
    <d v="2023-12-06T00:00:00"/>
    <x v="5"/>
    <n v="2"/>
    <n v="85"/>
    <n v="8"/>
    <n v="680"/>
    <n v="107.67"/>
    <x v="2"/>
    <x v="0"/>
  </r>
  <r>
    <x v="50"/>
    <d v="2023-12-06T00:00:00"/>
    <x v="5"/>
    <n v="3"/>
    <n v="85"/>
    <n v="5"/>
    <n v="425"/>
    <n v="99.17"/>
    <x v="2"/>
    <x v="0"/>
  </r>
  <r>
    <x v="50"/>
    <d v="2023-12-06T00:00:00"/>
    <x v="5"/>
    <n v="4"/>
    <n v="75"/>
    <n v="10"/>
    <n v="750"/>
    <n v="100"/>
    <x v="2"/>
    <x v="0"/>
  </r>
  <r>
    <x v="50"/>
    <d v="2023-12-06T00:00:00"/>
    <x v="12"/>
    <n v="1"/>
    <n v="15"/>
    <n v="20"/>
    <n v="300"/>
    <n v="25"/>
    <x v="2"/>
    <x v="1"/>
  </r>
  <r>
    <x v="50"/>
    <d v="2023-12-06T00:00:00"/>
    <x v="12"/>
    <n v="2"/>
    <n v="15"/>
    <n v="20"/>
    <n v="300"/>
    <n v="25"/>
    <x v="2"/>
    <x v="1"/>
  </r>
  <r>
    <x v="50"/>
    <d v="2023-12-06T00:00:00"/>
    <x v="12"/>
    <n v="3"/>
    <n v="15"/>
    <n v="20"/>
    <n v="300"/>
    <n v="25"/>
    <x v="2"/>
    <x v="1"/>
  </r>
  <r>
    <x v="50"/>
    <d v="2023-12-06T00:00:00"/>
    <x v="12"/>
    <n v="4"/>
    <n v="15"/>
    <n v="15"/>
    <n v="225"/>
    <n v="22.5"/>
    <x v="2"/>
    <x v="1"/>
  </r>
  <r>
    <x v="51"/>
    <d v="2023-12-08T00:00:00"/>
    <x v="9"/>
    <n v="1"/>
    <n v="45"/>
    <n v="15"/>
    <n v="675"/>
    <n v="67.5"/>
    <x v="1"/>
    <x v="0"/>
  </r>
  <r>
    <x v="51"/>
    <d v="2023-12-08T00:00:00"/>
    <x v="9"/>
    <n v="2"/>
    <n v="95"/>
    <n v="12"/>
    <n v="1140"/>
    <n v="133"/>
    <x v="1"/>
    <x v="0"/>
  </r>
  <r>
    <x v="51"/>
    <d v="2023-12-08T00:00:00"/>
    <x v="9"/>
    <n v="3"/>
    <n v="140"/>
    <n v="12"/>
    <n v="1680"/>
    <n v="196"/>
    <x v="1"/>
    <x v="0"/>
  </r>
  <r>
    <x v="51"/>
    <d v="2023-12-08T00:00:00"/>
    <x v="9"/>
    <n v="4"/>
    <n v="135"/>
    <n v="10"/>
    <n v="1350"/>
    <n v="180"/>
    <x v="1"/>
    <x v="0"/>
  </r>
  <r>
    <x v="51"/>
    <d v="2023-12-08T00:00:00"/>
    <x v="9"/>
    <n v="5"/>
    <n v="135"/>
    <n v="8"/>
    <n v="1080"/>
    <n v="171"/>
    <x v="1"/>
    <x v="0"/>
  </r>
  <r>
    <x v="51"/>
    <d v="2023-12-08T00:00:00"/>
    <x v="2"/>
    <n v="1"/>
    <n v="185"/>
    <n v="12"/>
    <n v="2220"/>
    <n v="259"/>
    <x v="1"/>
    <x v="0"/>
  </r>
  <r>
    <x v="51"/>
    <d v="2023-12-08T00:00:00"/>
    <x v="2"/>
    <n v="2"/>
    <n v="210"/>
    <n v="10"/>
    <n v="2100"/>
    <n v="280"/>
    <x v="1"/>
    <x v="0"/>
  </r>
  <r>
    <x v="51"/>
    <d v="2023-12-08T00:00:00"/>
    <x v="2"/>
    <n v="3"/>
    <n v="210"/>
    <n v="10"/>
    <n v="2100"/>
    <n v="280"/>
    <x v="1"/>
    <x v="0"/>
  </r>
  <r>
    <x v="52"/>
    <d v="2023-12-09T00:00:00"/>
    <x v="3"/>
    <n v="1"/>
    <n v="45"/>
    <n v="16"/>
    <n v="720"/>
    <n v="69"/>
    <x v="2"/>
    <x v="0"/>
  </r>
  <r>
    <x v="52"/>
    <d v="2023-12-09T00:00:00"/>
    <x v="3"/>
    <n v="2"/>
    <n v="95"/>
    <n v="12"/>
    <n v="1140"/>
    <n v="133"/>
    <x v="2"/>
    <x v="0"/>
  </r>
  <r>
    <x v="52"/>
    <d v="2023-12-09T00:00:00"/>
    <x v="3"/>
    <n v="3"/>
    <n v="145"/>
    <n v="9"/>
    <n v="1305"/>
    <n v="188.5"/>
    <x v="2"/>
    <x v="0"/>
  </r>
  <r>
    <x v="52"/>
    <d v="2023-12-09T00:00:00"/>
    <x v="3"/>
    <n v="4"/>
    <n v="155"/>
    <n v="5"/>
    <n v="775"/>
    <n v="180.83"/>
    <x v="2"/>
    <x v="0"/>
  </r>
  <r>
    <x v="52"/>
    <d v="2023-12-09T00:00:00"/>
    <x v="3"/>
    <n v="5"/>
    <n v="115"/>
    <n v="15"/>
    <n v="1725"/>
    <n v="172.5"/>
    <x v="2"/>
    <x v="0"/>
  </r>
  <r>
    <x v="52"/>
    <d v="2023-12-09T00:00:00"/>
    <x v="4"/>
    <n v="1"/>
    <n v="75"/>
    <n v="8"/>
    <n v="600"/>
    <n v="95"/>
    <x v="2"/>
    <x v="1"/>
  </r>
  <r>
    <x v="52"/>
    <d v="2023-12-09T00:00:00"/>
    <x v="4"/>
    <n v="2"/>
    <n v="70"/>
    <n v="10"/>
    <n v="700"/>
    <n v="93.33"/>
    <x v="2"/>
    <x v="1"/>
  </r>
  <r>
    <x v="52"/>
    <d v="2023-12-09T00:00:00"/>
    <x v="4"/>
    <n v="3"/>
    <n v="70"/>
    <n v="8"/>
    <n v="560"/>
    <n v="88.67"/>
    <x v="2"/>
    <x v="1"/>
  </r>
  <r>
    <x v="52"/>
    <d v="2023-12-09T00:00:00"/>
    <x v="5"/>
    <n v="1"/>
    <n v="45"/>
    <n v="12"/>
    <n v="540"/>
    <n v="63"/>
    <x v="2"/>
    <x v="0"/>
  </r>
  <r>
    <x v="52"/>
    <d v="2023-12-09T00:00:00"/>
    <x v="5"/>
    <n v="2"/>
    <n v="85"/>
    <n v="8"/>
    <n v="680"/>
    <n v="107.67"/>
    <x v="2"/>
    <x v="0"/>
  </r>
  <r>
    <x v="52"/>
    <d v="2023-12-09T00:00:00"/>
    <x v="5"/>
    <n v="3"/>
    <n v="85"/>
    <n v="7"/>
    <n v="595"/>
    <n v="104.83"/>
    <x v="2"/>
    <x v="0"/>
  </r>
  <r>
    <x v="52"/>
    <d v="2023-12-09T00:00:00"/>
    <x v="5"/>
    <n v="4"/>
    <n v="90"/>
    <n v="5"/>
    <n v="450"/>
    <n v="105"/>
    <x v="2"/>
    <x v="0"/>
  </r>
  <r>
    <x v="52"/>
    <d v="2023-12-09T00:00:00"/>
    <x v="14"/>
    <n v="1"/>
    <n v="20"/>
    <n v="16"/>
    <n v="320"/>
    <n v="30.67"/>
    <x v="2"/>
    <x v="1"/>
  </r>
  <r>
    <x v="52"/>
    <d v="2023-12-09T00:00:00"/>
    <x v="14"/>
    <n v="2"/>
    <n v="20"/>
    <n v="12"/>
    <n v="240"/>
    <n v="28"/>
    <x v="2"/>
    <x v="1"/>
  </r>
  <r>
    <x v="52"/>
    <d v="2023-12-09T00:00:00"/>
    <x v="12"/>
    <n v="1"/>
    <n v="10"/>
    <n v="20"/>
    <n v="200"/>
    <n v="16.670000000000002"/>
    <x v="2"/>
    <x v="1"/>
  </r>
  <r>
    <x v="52"/>
    <d v="2023-12-09T00:00:00"/>
    <x v="12"/>
    <n v="2"/>
    <n v="15"/>
    <n v="20"/>
    <n v="300"/>
    <n v="25"/>
    <x v="2"/>
    <x v="1"/>
  </r>
  <r>
    <x v="52"/>
    <d v="2023-12-09T00:00:00"/>
    <x v="12"/>
    <n v="3"/>
    <n v="10"/>
    <n v="20"/>
    <n v="200"/>
    <n v="16.670000000000002"/>
    <x v="2"/>
    <x v="1"/>
  </r>
  <r>
    <x v="52"/>
    <d v="2023-12-09T00:00:00"/>
    <x v="12"/>
    <n v="4"/>
    <n v="15"/>
    <n v="20"/>
    <n v="300"/>
    <n v="25"/>
    <x v="2"/>
    <x v="1"/>
  </r>
  <r>
    <x v="53"/>
    <d v="2023-12-10T00:00:00"/>
    <x v="0"/>
    <n v="1"/>
    <n v="45"/>
    <n v="15"/>
    <n v="675"/>
    <n v="67.5"/>
    <x v="0"/>
    <x v="0"/>
  </r>
  <r>
    <x v="53"/>
    <d v="2023-12-10T00:00:00"/>
    <x v="0"/>
    <n v="2"/>
    <n v="65"/>
    <n v="15"/>
    <n v="975"/>
    <n v="97.5"/>
    <x v="0"/>
    <x v="0"/>
  </r>
  <r>
    <x v="53"/>
    <d v="2023-12-10T00:00:00"/>
    <x v="0"/>
    <n v="3"/>
    <n v="65"/>
    <n v="15"/>
    <n v="975"/>
    <n v="97.5"/>
    <x v="0"/>
    <x v="0"/>
  </r>
  <r>
    <x v="53"/>
    <d v="2023-12-10T00:00:00"/>
    <x v="0"/>
    <n v="4"/>
    <n v="65"/>
    <n v="15"/>
    <n v="975"/>
    <n v="97.5"/>
    <x v="0"/>
    <x v="0"/>
  </r>
  <r>
    <x v="53"/>
    <d v="2023-12-10T00:00:00"/>
    <x v="1"/>
    <n v="1"/>
    <n v="70"/>
    <n v="12"/>
    <n v="840"/>
    <n v="98"/>
    <x v="0"/>
    <x v="1"/>
  </r>
  <r>
    <x v="53"/>
    <d v="2023-12-10T00:00:00"/>
    <x v="1"/>
    <n v="2"/>
    <n v="75"/>
    <n v="9"/>
    <n v="675"/>
    <n v="97.5"/>
    <x v="0"/>
    <x v="1"/>
  </r>
  <r>
    <x v="53"/>
    <d v="2023-12-10T00:00:00"/>
    <x v="1"/>
    <n v="3"/>
    <n v="75"/>
    <n v="7"/>
    <n v="525"/>
    <n v="92.5"/>
    <x v="0"/>
    <x v="1"/>
  </r>
  <r>
    <x v="53"/>
    <d v="2023-12-10T00:00:00"/>
    <x v="1"/>
    <n v="4"/>
    <n v="65"/>
    <n v="10"/>
    <n v="650"/>
    <n v="86.67"/>
    <x v="0"/>
    <x v="1"/>
  </r>
  <r>
    <x v="53"/>
    <d v="2023-12-10T00:00:00"/>
    <x v="8"/>
    <n v="1"/>
    <n v="50"/>
    <n v="17"/>
    <n v="850"/>
    <n v="78.33"/>
    <x v="0"/>
    <x v="1"/>
  </r>
  <r>
    <x v="53"/>
    <d v="2023-12-10T00:00:00"/>
    <x v="8"/>
    <n v="2"/>
    <n v="70"/>
    <n v="12"/>
    <n v="840"/>
    <n v="98"/>
    <x v="0"/>
    <x v="1"/>
  </r>
  <r>
    <x v="53"/>
    <d v="2023-12-10T00:00:00"/>
    <x v="8"/>
    <n v="3"/>
    <n v="90"/>
    <n v="10"/>
    <n v="900"/>
    <n v="120"/>
    <x v="0"/>
    <x v="1"/>
  </r>
  <r>
    <x v="53"/>
    <d v="2023-12-10T00:00:00"/>
    <x v="11"/>
    <n v="1"/>
    <n v="178"/>
    <n v="10"/>
    <n v="1780"/>
    <n v="237.33"/>
    <x v="0"/>
    <x v="0"/>
  </r>
  <r>
    <x v="53"/>
    <d v="2023-12-10T00:00:00"/>
    <x v="11"/>
    <n v="2"/>
    <n v="173"/>
    <n v="10"/>
    <n v="1730"/>
    <n v="230.67"/>
    <x v="0"/>
    <x v="0"/>
  </r>
  <r>
    <x v="53"/>
    <d v="2023-12-10T00:00:00"/>
    <x v="11"/>
    <n v="3"/>
    <n v="178"/>
    <n v="8"/>
    <n v="1424"/>
    <n v="225.47"/>
    <x v="0"/>
    <x v="0"/>
  </r>
  <r>
    <x v="53"/>
    <d v="2023-12-10T00:00:00"/>
    <x v="11"/>
    <n v="4"/>
    <n v="173"/>
    <n v="10"/>
    <n v="1730"/>
    <n v="230.67"/>
    <x v="0"/>
    <x v="0"/>
  </r>
  <r>
    <x v="53"/>
    <d v="2023-12-10T00:00:00"/>
    <x v="15"/>
    <n v="1"/>
    <n v="50"/>
    <n v="20"/>
    <n v="1000"/>
    <n v="83.33"/>
    <x v="0"/>
    <x v="1"/>
  </r>
  <r>
    <x v="53"/>
    <d v="2023-12-10T00:00:00"/>
    <x v="15"/>
    <n v="2"/>
    <n v="60"/>
    <n v="20"/>
    <n v="1200"/>
    <n v="100"/>
    <x v="0"/>
    <x v="1"/>
  </r>
  <r>
    <x v="53"/>
    <d v="2023-12-10T00:00:00"/>
    <x v="15"/>
    <n v="3"/>
    <n v="50"/>
    <n v="20"/>
    <n v="1000"/>
    <n v="83.33"/>
    <x v="0"/>
    <x v="1"/>
  </r>
  <r>
    <x v="53"/>
    <d v="2023-12-10T00:00:00"/>
    <x v="15"/>
    <n v="4"/>
    <n v="50"/>
    <n v="20"/>
    <n v="1000"/>
    <n v="83.33"/>
    <x v="0"/>
    <x v="1"/>
  </r>
  <r>
    <x v="54"/>
    <d v="2023-12-12T00:00:00"/>
    <x v="9"/>
    <n v="1"/>
    <n v="95"/>
    <n v="12"/>
    <n v="1140"/>
    <n v="133"/>
    <x v="1"/>
    <x v="0"/>
  </r>
  <r>
    <x v="54"/>
    <d v="2023-12-12T00:00:00"/>
    <x v="9"/>
    <n v="2"/>
    <n v="145"/>
    <n v="10"/>
    <n v="1450"/>
    <n v="193.33"/>
    <x v="1"/>
    <x v="0"/>
  </r>
  <r>
    <x v="54"/>
    <d v="2023-12-12T00:00:00"/>
    <x v="9"/>
    <n v="3"/>
    <n v="135"/>
    <n v="12"/>
    <n v="1620"/>
    <n v="189"/>
    <x v="1"/>
    <x v="0"/>
  </r>
  <r>
    <x v="54"/>
    <d v="2023-12-12T00:00:00"/>
    <x v="9"/>
    <n v="4"/>
    <n v="135"/>
    <n v="10"/>
    <n v="1350"/>
    <n v="180"/>
    <x v="1"/>
    <x v="0"/>
  </r>
  <r>
    <x v="54"/>
    <d v="2023-12-12T00:00:00"/>
    <x v="2"/>
    <n v="1"/>
    <n v="135"/>
    <n v="10"/>
    <n v="1350"/>
    <n v="180"/>
    <x v="1"/>
    <x v="0"/>
  </r>
  <r>
    <x v="54"/>
    <d v="2023-12-12T00:00:00"/>
    <x v="2"/>
    <n v="2"/>
    <n v="185"/>
    <n v="10"/>
    <n v="1850"/>
    <n v="246.67"/>
    <x v="1"/>
    <x v="0"/>
  </r>
  <r>
    <x v="54"/>
    <d v="2023-12-12T00:00:00"/>
    <x v="2"/>
    <n v="3"/>
    <n v="215"/>
    <n v="10"/>
    <n v="2150"/>
    <n v="286.67"/>
    <x v="1"/>
    <x v="0"/>
  </r>
  <r>
    <x v="54"/>
    <d v="2023-12-12T00:00:00"/>
    <x v="2"/>
    <n v="4"/>
    <n v="215"/>
    <n v="8"/>
    <n v="1720"/>
    <n v="272.33"/>
    <x v="1"/>
    <x v="0"/>
  </r>
  <r>
    <x v="55"/>
    <d v="2023-12-13T00:00:00"/>
    <x v="3"/>
    <n v="1"/>
    <n v="45"/>
    <n v="17"/>
    <n v="765"/>
    <n v="70.5"/>
    <x v="2"/>
    <x v="0"/>
  </r>
  <r>
    <x v="55"/>
    <d v="2023-12-13T00:00:00"/>
    <x v="3"/>
    <n v="2"/>
    <n v="95"/>
    <n v="12"/>
    <n v="1140"/>
    <n v="133"/>
    <x v="2"/>
    <x v="0"/>
  </r>
  <r>
    <x v="55"/>
    <d v="2023-12-13T00:00:00"/>
    <x v="3"/>
    <n v="3"/>
    <n v="145"/>
    <n v="9"/>
    <n v="1305"/>
    <n v="188.5"/>
    <x v="2"/>
    <x v="0"/>
  </r>
  <r>
    <x v="55"/>
    <d v="2023-12-13T00:00:00"/>
    <x v="3"/>
    <n v="4"/>
    <n v="145"/>
    <n v="8"/>
    <n v="1160"/>
    <n v="183.67"/>
    <x v="2"/>
    <x v="0"/>
  </r>
  <r>
    <x v="55"/>
    <d v="2023-12-13T00:00:00"/>
    <x v="10"/>
    <n v="1"/>
    <n v="45"/>
    <n v="15"/>
    <n v="675"/>
    <n v="67.5"/>
    <x v="2"/>
    <x v="1"/>
  </r>
  <r>
    <x v="55"/>
    <d v="2023-12-13T00:00:00"/>
    <x v="10"/>
    <n v="2"/>
    <n v="95"/>
    <n v="12"/>
    <n v="1140"/>
    <n v="133"/>
    <x v="2"/>
    <x v="1"/>
  </r>
  <r>
    <x v="55"/>
    <d v="2023-12-13T00:00:00"/>
    <x v="4"/>
    <n v="1"/>
    <n v="65"/>
    <n v="12"/>
    <n v="780"/>
    <n v="91"/>
    <x v="2"/>
    <x v="1"/>
  </r>
  <r>
    <x v="55"/>
    <d v="2023-12-13T00:00:00"/>
    <x v="4"/>
    <n v="2"/>
    <n v="65"/>
    <n v="11"/>
    <n v="715"/>
    <n v="88.83"/>
    <x v="2"/>
    <x v="1"/>
  </r>
  <r>
    <x v="55"/>
    <d v="2023-12-13T00:00:00"/>
    <x v="4"/>
    <n v="3"/>
    <n v="65"/>
    <n v="9"/>
    <n v="585"/>
    <n v="84.5"/>
    <x v="2"/>
    <x v="1"/>
  </r>
  <r>
    <x v="55"/>
    <d v="2023-12-13T00:00:00"/>
    <x v="5"/>
    <n v="1"/>
    <n v="80"/>
    <n v="8"/>
    <n v="640"/>
    <n v="101.33"/>
    <x v="2"/>
    <x v="0"/>
  </r>
  <r>
    <x v="55"/>
    <d v="2023-12-13T00:00:00"/>
    <x v="5"/>
    <n v="2"/>
    <n v="80"/>
    <n v="8"/>
    <n v="640"/>
    <n v="101.33"/>
    <x v="2"/>
    <x v="0"/>
  </r>
  <r>
    <x v="55"/>
    <d v="2023-12-13T00:00:00"/>
    <x v="12"/>
    <n v="1"/>
    <n v="10"/>
    <n v="20"/>
    <n v="200"/>
    <n v="16.670000000000002"/>
    <x v="2"/>
    <x v="1"/>
  </r>
  <r>
    <x v="55"/>
    <d v="2023-12-13T00:00:00"/>
    <x v="12"/>
    <n v="2"/>
    <n v="15"/>
    <n v="20"/>
    <n v="300"/>
    <n v="25"/>
    <x v="2"/>
    <x v="1"/>
  </r>
  <r>
    <x v="55"/>
    <d v="2023-12-13T00:00:00"/>
    <x v="12"/>
    <n v="3"/>
    <n v="15"/>
    <n v="20"/>
    <n v="300"/>
    <n v="25"/>
    <x v="2"/>
    <x v="1"/>
  </r>
  <r>
    <x v="55"/>
    <d v="2023-12-13T00:00:00"/>
    <x v="12"/>
    <n v="4"/>
    <n v="15"/>
    <n v="20"/>
    <n v="300"/>
    <n v="25"/>
    <x v="2"/>
    <x v="1"/>
  </r>
  <r>
    <x v="56"/>
    <d v="2023-12-14T00:00:00"/>
    <x v="0"/>
    <n v="1"/>
    <n v="65"/>
    <n v="15"/>
    <n v="975"/>
    <n v="97.5"/>
    <x v="0"/>
    <x v="0"/>
  </r>
  <r>
    <x v="56"/>
    <d v="2023-12-14T00:00:00"/>
    <x v="0"/>
    <n v="2"/>
    <n v="70"/>
    <n v="15"/>
    <n v="1050"/>
    <n v="105"/>
    <x v="0"/>
    <x v="0"/>
  </r>
  <r>
    <x v="56"/>
    <d v="2023-12-14T00:00:00"/>
    <x v="0"/>
    <n v="3"/>
    <n v="70"/>
    <n v="15"/>
    <n v="1050"/>
    <n v="105"/>
    <x v="0"/>
    <x v="0"/>
  </r>
  <r>
    <x v="56"/>
    <d v="2023-12-14T00:00:00"/>
    <x v="1"/>
    <n v="1"/>
    <n v="55"/>
    <n v="15"/>
    <n v="825"/>
    <n v="82.5"/>
    <x v="0"/>
    <x v="1"/>
  </r>
  <r>
    <x v="56"/>
    <d v="2023-12-14T00:00:00"/>
    <x v="1"/>
    <n v="2"/>
    <n v="55"/>
    <n v="15"/>
    <n v="825"/>
    <n v="82.5"/>
    <x v="0"/>
    <x v="1"/>
  </r>
  <r>
    <x v="56"/>
    <d v="2023-12-14T00:00:00"/>
    <x v="1"/>
    <n v="3"/>
    <n v="55"/>
    <n v="12"/>
    <n v="660"/>
    <n v="77"/>
    <x v="0"/>
    <x v="1"/>
  </r>
  <r>
    <x v="56"/>
    <d v="2023-12-14T00:00:00"/>
    <x v="1"/>
    <n v="4"/>
    <n v="55"/>
    <n v="12"/>
    <n v="660"/>
    <n v="77"/>
    <x v="0"/>
    <x v="1"/>
  </r>
  <r>
    <x v="56"/>
    <d v="2023-12-14T00:00:00"/>
    <x v="8"/>
    <n v="1"/>
    <n v="50"/>
    <n v="15"/>
    <n v="750"/>
    <n v="75"/>
    <x v="0"/>
    <x v="1"/>
  </r>
  <r>
    <x v="56"/>
    <d v="2023-12-14T00:00:00"/>
    <x v="8"/>
    <n v="2"/>
    <n v="70"/>
    <n v="15"/>
    <n v="1050"/>
    <n v="105"/>
    <x v="0"/>
    <x v="1"/>
  </r>
  <r>
    <x v="56"/>
    <d v="2023-12-14T00:00:00"/>
    <x v="8"/>
    <n v="3"/>
    <n v="70"/>
    <n v="15"/>
    <n v="1050"/>
    <n v="105"/>
    <x v="0"/>
    <x v="1"/>
  </r>
  <r>
    <x v="56"/>
    <d v="2023-12-14T00:00:00"/>
    <x v="11"/>
    <n v="1"/>
    <n v="173"/>
    <n v="10"/>
    <n v="1730"/>
    <n v="230.67"/>
    <x v="0"/>
    <x v="0"/>
  </r>
  <r>
    <x v="56"/>
    <d v="2023-12-14T00:00:00"/>
    <x v="11"/>
    <n v="2"/>
    <n v="178"/>
    <n v="10"/>
    <n v="1780"/>
    <n v="237.33"/>
    <x v="0"/>
    <x v="0"/>
  </r>
  <r>
    <x v="56"/>
    <d v="2023-12-14T00:00:00"/>
    <x v="11"/>
    <n v="3"/>
    <n v="173"/>
    <n v="11"/>
    <n v="1903"/>
    <n v="236.43"/>
    <x v="0"/>
    <x v="0"/>
  </r>
  <r>
    <x v="56"/>
    <d v="2023-12-14T00:00:00"/>
    <x v="11"/>
    <n v="4"/>
    <n v="173"/>
    <n v="11"/>
    <n v="1903"/>
    <n v="236.43"/>
    <x v="0"/>
    <x v="0"/>
  </r>
  <r>
    <x v="56"/>
    <d v="2023-12-14T00:00:00"/>
    <x v="15"/>
    <n v="1"/>
    <n v="50"/>
    <n v="20"/>
    <n v="1000"/>
    <n v="83.33"/>
    <x v="0"/>
    <x v="1"/>
  </r>
  <r>
    <x v="56"/>
    <d v="2023-12-14T00:00:00"/>
    <x v="15"/>
    <n v="2"/>
    <n v="55"/>
    <n v="20"/>
    <n v="1100"/>
    <n v="91.67"/>
    <x v="0"/>
    <x v="1"/>
  </r>
  <r>
    <x v="56"/>
    <d v="2023-12-14T00:00:00"/>
    <x v="15"/>
    <n v="3"/>
    <n v="55"/>
    <n v="20"/>
    <n v="1100"/>
    <n v="91.67"/>
    <x v="0"/>
    <x v="1"/>
  </r>
  <r>
    <x v="56"/>
    <d v="2023-12-14T00:00:00"/>
    <x v="15"/>
    <n v="4"/>
    <n v="55"/>
    <n v="20"/>
    <n v="1100"/>
    <n v="91.67"/>
    <x v="0"/>
    <x v="1"/>
  </r>
  <r>
    <x v="57"/>
    <d v="2023-12-15T00:00:00"/>
    <x v="16"/>
    <n v="1"/>
    <n v="10"/>
    <n v="20"/>
    <n v="200"/>
    <n v="16.670000000000002"/>
    <x v="3"/>
    <x v="1"/>
  </r>
  <r>
    <x v="57"/>
    <d v="2023-12-15T00:00:00"/>
    <x v="16"/>
    <n v="2"/>
    <n v="10"/>
    <n v="20"/>
    <n v="200"/>
    <n v="16.670000000000002"/>
    <x v="3"/>
    <x v="1"/>
  </r>
  <r>
    <x v="57"/>
    <d v="2023-12-15T00:00:00"/>
    <x v="16"/>
    <n v="3"/>
    <n v="45"/>
    <n v="20"/>
    <n v="900"/>
    <n v="75"/>
    <x v="3"/>
    <x v="1"/>
  </r>
  <r>
    <x v="57"/>
    <d v="2023-12-15T00:00:00"/>
    <x v="17"/>
    <n v="1"/>
    <n v="20"/>
    <n v="20"/>
    <n v="400"/>
    <n v="33.33"/>
    <x v="3"/>
    <x v="1"/>
  </r>
  <r>
    <x v="57"/>
    <d v="2023-12-15T00:00:00"/>
    <x v="17"/>
    <n v="2"/>
    <n v="20"/>
    <n v="20"/>
    <n v="400"/>
    <n v="33.33"/>
    <x v="3"/>
    <x v="1"/>
  </r>
  <r>
    <x v="57"/>
    <d v="2023-12-15T00:00:00"/>
    <x v="18"/>
    <n v="1"/>
    <n v="5"/>
    <n v="20"/>
    <n v="100"/>
    <n v="8.33"/>
    <x v="3"/>
    <x v="1"/>
  </r>
  <r>
    <x v="57"/>
    <d v="2023-12-15T00:00:00"/>
    <x v="18"/>
    <n v="2"/>
    <n v="5"/>
    <n v="20"/>
    <n v="100"/>
    <n v="8.33"/>
    <x v="3"/>
    <x v="1"/>
  </r>
  <r>
    <x v="58"/>
    <d v="2023-12-17T00:00:00"/>
    <x v="3"/>
    <n v="1"/>
    <n v="45"/>
    <n v="16"/>
    <n v="720"/>
    <n v="69"/>
    <x v="2"/>
    <x v="0"/>
  </r>
  <r>
    <x v="58"/>
    <d v="2023-12-17T00:00:00"/>
    <x v="3"/>
    <n v="2"/>
    <n v="95"/>
    <n v="12"/>
    <n v="1140"/>
    <n v="133"/>
    <x v="2"/>
    <x v="0"/>
  </r>
  <r>
    <x v="58"/>
    <d v="2023-12-17T00:00:00"/>
    <x v="3"/>
    <n v="3"/>
    <n v="135"/>
    <n v="10"/>
    <n v="1350"/>
    <n v="180"/>
    <x v="2"/>
    <x v="0"/>
  </r>
  <r>
    <x v="58"/>
    <d v="2023-12-17T00:00:00"/>
    <x v="3"/>
    <n v="4"/>
    <n v="135"/>
    <n v="10"/>
    <n v="1350"/>
    <n v="180"/>
    <x v="2"/>
    <x v="0"/>
  </r>
  <r>
    <x v="58"/>
    <d v="2023-12-17T00:00:00"/>
    <x v="10"/>
    <n v="1"/>
    <n v="45"/>
    <n v="15"/>
    <n v="675"/>
    <n v="67.5"/>
    <x v="2"/>
    <x v="1"/>
  </r>
  <r>
    <x v="58"/>
    <d v="2023-12-17T00:00:00"/>
    <x v="10"/>
    <n v="2"/>
    <n v="45"/>
    <n v="15"/>
    <n v="675"/>
    <n v="67.5"/>
    <x v="2"/>
    <x v="1"/>
  </r>
  <r>
    <x v="58"/>
    <d v="2023-12-17T00:00:00"/>
    <x v="10"/>
    <n v="3"/>
    <n v="95"/>
    <n v="12"/>
    <n v="1140"/>
    <n v="133"/>
    <x v="2"/>
    <x v="1"/>
  </r>
  <r>
    <x v="58"/>
    <d v="2023-12-17T00:00:00"/>
    <x v="10"/>
    <n v="4"/>
    <n v="95"/>
    <n v="12"/>
    <n v="1140"/>
    <n v="133"/>
    <x v="2"/>
    <x v="1"/>
  </r>
  <r>
    <x v="58"/>
    <d v="2023-12-17T00:00:00"/>
    <x v="4"/>
    <n v="1"/>
    <n v="65"/>
    <n v="12"/>
    <n v="780"/>
    <n v="91"/>
    <x v="2"/>
    <x v="1"/>
  </r>
  <r>
    <x v="58"/>
    <d v="2023-12-17T00:00:00"/>
    <x v="4"/>
    <n v="2"/>
    <n v="65"/>
    <n v="10"/>
    <n v="650"/>
    <n v="86.67"/>
    <x v="2"/>
    <x v="1"/>
  </r>
  <r>
    <x v="58"/>
    <d v="2023-12-17T00:00:00"/>
    <x v="4"/>
    <n v="3"/>
    <n v="65"/>
    <n v="7"/>
    <n v="455"/>
    <n v="80.17"/>
    <x v="2"/>
    <x v="1"/>
  </r>
  <r>
    <x v="58"/>
    <d v="2023-12-17T00:00:00"/>
    <x v="5"/>
    <n v="1"/>
    <n v="85"/>
    <n v="7"/>
    <n v="595"/>
    <n v="104.83"/>
    <x v="2"/>
    <x v="0"/>
  </r>
  <r>
    <x v="58"/>
    <d v="2023-12-17T00:00:00"/>
    <x v="5"/>
    <n v="2"/>
    <n v="70"/>
    <n v="10"/>
    <n v="700"/>
    <n v="93.33"/>
    <x v="2"/>
    <x v="0"/>
  </r>
  <r>
    <x v="58"/>
    <d v="2023-12-17T00:00:00"/>
    <x v="5"/>
    <n v="3"/>
    <n v="70"/>
    <n v="7"/>
    <n v="490"/>
    <n v="86.33"/>
    <x v="2"/>
    <x v="0"/>
  </r>
  <r>
    <x v="58"/>
    <d v="2023-12-17T00:00:00"/>
    <x v="19"/>
    <n v="1"/>
    <n v="2"/>
    <n v="20"/>
    <n v="40"/>
    <n v="3.33"/>
    <x v="2"/>
    <x v="1"/>
  </r>
  <r>
    <x v="58"/>
    <d v="2023-12-17T00:00:00"/>
    <x v="12"/>
    <n v="1"/>
    <n v="15"/>
    <n v="20"/>
    <n v="300"/>
    <n v="25"/>
    <x v="2"/>
    <x v="1"/>
  </r>
  <r>
    <x v="58"/>
    <d v="2023-12-17T00:00:00"/>
    <x v="12"/>
    <n v="2"/>
    <n v="15"/>
    <n v="20"/>
    <n v="300"/>
    <n v="25"/>
    <x v="2"/>
    <x v="1"/>
  </r>
  <r>
    <x v="58"/>
    <d v="2023-12-17T00:00:00"/>
    <x v="12"/>
    <n v="3"/>
    <n v="15"/>
    <n v="20"/>
    <n v="300"/>
    <n v="25"/>
    <x v="2"/>
    <x v="1"/>
  </r>
  <r>
    <x v="58"/>
    <d v="2023-12-17T00:00:00"/>
    <x v="12"/>
    <n v="4"/>
    <n v="15"/>
    <n v="20"/>
    <n v="300"/>
    <n v="25"/>
    <x v="2"/>
    <x v="1"/>
  </r>
  <r>
    <x v="59"/>
    <d v="2023-12-18T00:00:00"/>
    <x v="0"/>
    <n v="1"/>
    <n v="70"/>
    <n v="15"/>
    <n v="1050"/>
    <n v="105"/>
    <x v="0"/>
    <x v="0"/>
  </r>
  <r>
    <x v="59"/>
    <d v="2023-12-18T00:00:00"/>
    <x v="0"/>
    <n v="2"/>
    <n v="70"/>
    <n v="15"/>
    <n v="1050"/>
    <n v="105"/>
    <x v="0"/>
    <x v="0"/>
  </r>
  <r>
    <x v="59"/>
    <d v="2023-12-18T00:00:00"/>
    <x v="0"/>
    <n v="3"/>
    <n v="70"/>
    <n v="15"/>
    <n v="1050"/>
    <n v="105"/>
    <x v="0"/>
    <x v="0"/>
  </r>
  <r>
    <x v="59"/>
    <d v="2023-12-18T00:00:00"/>
    <x v="1"/>
    <n v="1"/>
    <n v="55"/>
    <n v="15"/>
    <n v="825"/>
    <n v="82.5"/>
    <x v="0"/>
    <x v="1"/>
  </r>
  <r>
    <x v="59"/>
    <d v="2023-12-18T00:00:00"/>
    <x v="1"/>
    <n v="2"/>
    <n v="55"/>
    <n v="15"/>
    <n v="825"/>
    <n v="82.5"/>
    <x v="0"/>
    <x v="1"/>
  </r>
  <r>
    <x v="59"/>
    <d v="2023-12-18T00:00:00"/>
    <x v="1"/>
    <n v="3"/>
    <n v="60"/>
    <n v="15"/>
    <n v="900"/>
    <n v="90"/>
    <x v="0"/>
    <x v="1"/>
  </r>
  <r>
    <x v="59"/>
    <d v="2023-12-18T00:00:00"/>
    <x v="8"/>
    <n v="1"/>
    <n v="50"/>
    <n v="15"/>
    <n v="750"/>
    <n v="75"/>
    <x v="0"/>
    <x v="1"/>
  </r>
  <r>
    <x v="59"/>
    <d v="2023-12-18T00:00:00"/>
    <x v="8"/>
    <n v="2"/>
    <n v="70"/>
    <n v="15"/>
    <n v="1050"/>
    <n v="105"/>
    <x v="0"/>
    <x v="1"/>
  </r>
  <r>
    <x v="59"/>
    <d v="2023-12-18T00:00:00"/>
    <x v="8"/>
    <n v="3"/>
    <n v="50"/>
    <n v="15"/>
    <n v="750"/>
    <n v="75"/>
    <x v="0"/>
    <x v="1"/>
  </r>
  <r>
    <x v="59"/>
    <d v="2023-12-18T00:00:00"/>
    <x v="11"/>
    <n v="1"/>
    <n v="174"/>
    <n v="10"/>
    <n v="1740"/>
    <n v="232"/>
    <x v="0"/>
    <x v="0"/>
  </r>
  <r>
    <x v="59"/>
    <d v="2023-12-18T00:00:00"/>
    <x v="11"/>
    <n v="2"/>
    <n v="179"/>
    <n v="10"/>
    <n v="1790"/>
    <n v="238.67"/>
    <x v="0"/>
    <x v="0"/>
  </r>
  <r>
    <x v="59"/>
    <d v="2023-12-18T00:00:00"/>
    <x v="11"/>
    <n v="3"/>
    <n v="179"/>
    <n v="10"/>
    <n v="1790"/>
    <n v="238.67"/>
    <x v="0"/>
    <x v="0"/>
  </r>
  <r>
    <x v="59"/>
    <d v="2023-12-18T00:00:00"/>
    <x v="11"/>
    <n v="4"/>
    <n v="174"/>
    <n v="10"/>
    <n v="1740"/>
    <n v="232"/>
    <x v="0"/>
    <x v="0"/>
  </r>
  <r>
    <x v="59"/>
    <d v="2023-12-18T00:00:00"/>
    <x v="15"/>
    <n v="1"/>
    <n v="50"/>
    <n v="20"/>
    <n v="1000"/>
    <n v="83.33"/>
    <x v="0"/>
    <x v="1"/>
  </r>
  <r>
    <x v="59"/>
    <d v="2023-12-18T00:00:00"/>
    <x v="15"/>
    <n v="2"/>
    <n v="50"/>
    <n v="20"/>
    <n v="1000"/>
    <n v="83.33"/>
    <x v="0"/>
    <x v="1"/>
  </r>
  <r>
    <x v="59"/>
    <d v="2023-12-18T00:00:00"/>
    <x v="15"/>
    <n v="3"/>
    <n v="50"/>
    <n v="20"/>
    <n v="1000"/>
    <n v="83.33"/>
    <x v="0"/>
    <x v="1"/>
  </r>
  <r>
    <x v="59"/>
    <d v="2023-12-18T00:00:00"/>
    <x v="20"/>
    <n v="1"/>
    <n v="10"/>
    <n v="20"/>
    <n v="200"/>
    <n v="16.670000000000002"/>
    <x v="0"/>
    <x v="1"/>
  </r>
  <r>
    <x v="59"/>
    <d v="2023-12-18T00:00:00"/>
    <x v="20"/>
    <n v="2"/>
    <n v="1"/>
    <n v="20"/>
    <n v="20"/>
    <n v="1.67"/>
    <x v="0"/>
    <x v="1"/>
  </r>
  <r>
    <x v="59"/>
    <d v="2023-12-18T00:00:00"/>
    <x v="20"/>
    <n v="3"/>
    <n v="5"/>
    <n v="10"/>
    <n v="50"/>
    <n v="6.67"/>
    <x v="0"/>
    <x v="1"/>
  </r>
  <r>
    <x v="60"/>
    <d v="2023-12-20T00:00:00"/>
    <x v="9"/>
    <n v="1"/>
    <n v="95"/>
    <n v="12"/>
    <n v="1140"/>
    <n v="133"/>
    <x v="1"/>
    <x v="0"/>
  </r>
  <r>
    <x v="60"/>
    <d v="2023-12-20T00:00:00"/>
    <x v="9"/>
    <n v="2"/>
    <n v="135"/>
    <n v="12"/>
    <n v="1620"/>
    <n v="189"/>
    <x v="1"/>
    <x v="0"/>
  </r>
  <r>
    <x v="60"/>
    <d v="2023-12-20T00:00:00"/>
    <x v="9"/>
    <n v="3"/>
    <n v="135"/>
    <n v="12"/>
    <n v="1620"/>
    <n v="189"/>
    <x v="1"/>
    <x v="0"/>
  </r>
  <r>
    <x v="60"/>
    <d v="2023-12-20T00:00:00"/>
    <x v="9"/>
    <n v="4"/>
    <n v="95"/>
    <n v="16"/>
    <n v="1520"/>
    <n v="145.66999999999999"/>
    <x v="1"/>
    <x v="0"/>
  </r>
  <r>
    <x v="60"/>
    <d v="2023-12-20T00:00:00"/>
    <x v="2"/>
    <n v="1"/>
    <n v="135"/>
    <n v="12"/>
    <n v="1620"/>
    <n v="189"/>
    <x v="1"/>
    <x v="0"/>
  </r>
  <r>
    <x v="60"/>
    <d v="2023-12-20T00:00:00"/>
    <x v="2"/>
    <n v="2"/>
    <n v="185"/>
    <n v="12"/>
    <n v="2220"/>
    <n v="259"/>
    <x v="1"/>
    <x v="0"/>
  </r>
  <r>
    <x v="60"/>
    <d v="2023-12-20T00:00:00"/>
    <x v="2"/>
    <n v="3"/>
    <n v="225"/>
    <n v="10"/>
    <n v="2250"/>
    <n v="300"/>
    <x v="1"/>
    <x v="0"/>
  </r>
  <r>
    <x v="60"/>
    <d v="2023-12-20T00:00:00"/>
    <x v="20"/>
    <n v="1"/>
    <n v="1"/>
    <n v="25"/>
    <n v="25"/>
    <n v="1.83"/>
    <x v="1"/>
    <x v="1"/>
  </r>
  <r>
    <x v="60"/>
    <d v="2023-12-20T00:00:00"/>
    <x v="20"/>
    <n v="2"/>
    <n v="1"/>
    <n v="25"/>
    <n v="25"/>
    <n v="1.83"/>
    <x v="1"/>
    <x v="1"/>
  </r>
  <r>
    <x v="60"/>
    <d v="2023-12-20T00:00:00"/>
    <x v="20"/>
    <n v="3"/>
    <n v="1"/>
    <n v="25"/>
    <n v="25"/>
    <n v="1.83"/>
    <x v="1"/>
    <x v="1"/>
  </r>
  <r>
    <x v="61"/>
    <d v="2023-12-21T00:00:00"/>
    <x v="3"/>
    <n v="1"/>
    <n v="45"/>
    <n v="16"/>
    <n v="720"/>
    <n v="69"/>
    <x v="2"/>
    <x v="0"/>
  </r>
  <r>
    <x v="61"/>
    <d v="2023-12-21T00:00:00"/>
    <x v="3"/>
    <n v="2"/>
    <n v="95"/>
    <n v="12"/>
    <n v="1140"/>
    <n v="133"/>
    <x v="2"/>
    <x v="0"/>
  </r>
  <r>
    <x v="61"/>
    <d v="2023-12-21T00:00:00"/>
    <x v="3"/>
    <n v="3"/>
    <n v="135"/>
    <n v="10"/>
    <n v="1350"/>
    <n v="180"/>
    <x v="2"/>
    <x v="0"/>
  </r>
  <r>
    <x v="61"/>
    <d v="2023-12-21T00:00:00"/>
    <x v="3"/>
    <n v="4"/>
    <n v="150"/>
    <n v="7"/>
    <n v="1050"/>
    <n v="185"/>
    <x v="2"/>
    <x v="0"/>
  </r>
  <r>
    <x v="61"/>
    <d v="2023-12-21T00:00:00"/>
    <x v="10"/>
    <n v="1"/>
    <n v="45"/>
    <n v="10"/>
    <n v="450"/>
    <n v="60"/>
    <x v="2"/>
    <x v="1"/>
  </r>
  <r>
    <x v="61"/>
    <d v="2023-12-21T00:00:00"/>
    <x v="10"/>
    <n v="2"/>
    <n v="100"/>
    <n v="12"/>
    <n v="1200"/>
    <n v="140"/>
    <x v="2"/>
    <x v="1"/>
  </r>
  <r>
    <x v="61"/>
    <d v="2023-12-21T00:00:00"/>
    <x v="10"/>
    <n v="3"/>
    <n v="105"/>
    <n v="10"/>
    <n v="1050"/>
    <n v="140"/>
    <x v="2"/>
    <x v="1"/>
  </r>
  <r>
    <x v="61"/>
    <d v="2023-12-21T00:00:00"/>
    <x v="10"/>
    <n v="4"/>
    <n v="105"/>
    <n v="8"/>
    <n v="840"/>
    <n v="133"/>
    <x v="2"/>
    <x v="1"/>
  </r>
  <r>
    <x v="61"/>
    <d v="2023-12-21T00:00:00"/>
    <x v="5"/>
    <n v="1"/>
    <n v="70"/>
    <n v="10"/>
    <n v="700"/>
    <n v="93.33"/>
    <x v="2"/>
    <x v="0"/>
  </r>
  <r>
    <x v="61"/>
    <d v="2023-12-21T00:00:00"/>
    <x v="5"/>
    <n v="2"/>
    <n v="70"/>
    <n v="10"/>
    <n v="700"/>
    <n v="93.33"/>
    <x v="2"/>
    <x v="0"/>
  </r>
  <r>
    <x v="61"/>
    <d v="2023-12-21T00:00:00"/>
    <x v="5"/>
    <n v="3"/>
    <n v="70"/>
    <n v="7"/>
    <n v="490"/>
    <n v="86.33"/>
    <x v="2"/>
    <x v="0"/>
  </r>
  <r>
    <x v="61"/>
    <d v="2023-12-21T00:00:00"/>
    <x v="5"/>
    <n v="4"/>
    <n v="70"/>
    <n v="7"/>
    <n v="490"/>
    <n v="86.33"/>
    <x v="2"/>
    <x v="0"/>
  </r>
  <r>
    <x v="61"/>
    <d v="2023-12-21T00:00:00"/>
    <x v="12"/>
    <n v="1"/>
    <n v="15"/>
    <n v="20"/>
    <n v="300"/>
    <n v="25"/>
    <x v="2"/>
    <x v="1"/>
  </r>
  <r>
    <x v="61"/>
    <d v="2023-12-21T00:00:00"/>
    <x v="12"/>
    <n v="2"/>
    <n v="15"/>
    <n v="20"/>
    <n v="300"/>
    <n v="25"/>
    <x v="2"/>
    <x v="1"/>
  </r>
  <r>
    <x v="61"/>
    <d v="2023-12-21T00:00:00"/>
    <x v="12"/>
    <n v="3"/>
    <n v="15"/>
    <n v="20"/>
    <n v="300"/>
    <n v="25"/>
    <x v="2"/>
    <x v="1"/>
  </r>
  <r>
    <x v="61"/>
    <d v="2023-12-21T00:00:00"/>
    <x v="12"/>
    <n v="4"/>
    <n v="15"/>
    <n v="20"/>
    <n v="300"/>
    <n v="25"/>
    <x v="2"/>
    <x v="1"/>
  </r>
  <r>
    <x v="62"/>
    <d v="2023-12-22T00:00:00"/>
    <x v="0"/>
    <n v="1"/>
    <n v="70"/>
    <n v="15"/>
    <n v="1050"/>
    <n v="105"/>
    <x v="0"/>
    <x v="0"/>
  </r>
  <r>
    <x v="62"/>
    <d v="2023-12-22T00:00:00"/>
    <x v="0"/>
    <n v="2"/>
    <n v="75"/>
    <n v="15"/>
    <n v="1125"/>
    <n v="112.5"/>
    <x v="0"/>
    <x v="0"/>
  </r>
  <r>
    <x v="62"/>
    <d v="2023-12-22T00:00:00"/>
    <x v="0"/>
    <n v="3"/>
    <n v="75"/>
    <n v="15"/>
    <n v="1125"/>
    <n v="112.5"/>
    <x v="0"/>
    <x v="0"/>
  </r>
  <r>
    <x v="62"/>
    <d v="2023-12-22T00:00:00"/>
    <x v="1"/>
    <n v="1"/>
    <n v="60"/>
    <n v="15"/>
    <n v="900"/>
    <n v="90"/>
    <x v="0"/>
    <x v="1"/>
  </r>
  <r>
    <x v="62"/>
    <d v="2023-12-22T00:00:00"/>
    <x v="1"/>
    <n v="2"/>
    <n v="60"/>
    <n v="15"/>
    <n v="900"/>
    <n v="90"/>
    <x v="0"/>
    <x v="1"/>
  </r>
  <r>
    <x v="62"/>
    <d v="2023-12-22T00:00:00"/>
    <x v="1"/>
    <n v="3"/>
    <n v="60"/>
    <n v="15"/>
    <n v="900"/>
    <n v="90"/>
    <x v="0"/>
    <x v="1"/>
  </r>
  <r>
    <x v="62"/>
    <d v="2023-12-22T00:00:00"/>
    <x v="21"/>
    <n v="1"/>
    <n v="20"/>
    <n v="12"/>
    <n v="240"/>
    <n v="28"/>
    <x v="0"/>
    <x v="1"/>
  </r>
  <r>
    <x v="62"/>
    <d v="2023-12-22T00:00:00"/>
    <x v="21"/>
    <n v="2"/>
    <n v="20"/>
    <n v="12"/>
    <n v="240"/>
    <n v="28"/>
    <x v="0"/>
    <x v="1"/>
  </r>
  <r>
    <x v="62"/>
    <d v="2023-12-22T00:00:00"/>
    <x v="11"/>
    <n v="1"/>
    <n v="176"/>
    <n v="10"/>
    <n v="1760"/>
    <n v="234.67"/>
    <x v="0"/>
    <x v="0"/>
  </r>
  <r>
    <x v="62"/>
    <d v="2023-12-22T00:00:00"/>
    <x v="11"/>
    <n v="2"/>
    <n v="176"/>
    <n v="12"/>
    <n v="2112"/>
    <n v="246.4"/>
    <x v="0"/>
    <x v="0"/>
  </r>
  <r>
    <x v="62"/>
    <d v="2023-12-22T00:00:00"/>
    <x v="11"/>
    <n v="3"/>
    <n v="176"/>
    <n v="10"/>
    <n v="1760"/>
    <n v="234.67"/>
    <x v="0"/>
    <x v="0"/>
  </r>
  <r>
    <x v="62"/>
    <d v="2023-12-22T00:00:00"/>
    <x v="11"/>
    <n v="4"/>
    <n v="186"/>
    <n v="8"/>
    <n v="1488"/>
    <n v="235.6"/>
    <x v="0"/>
    <x v="0"/>
  </r>
  <r>
    <x v="62"/>
    <d v="2023-12-22T00:00:00"/>
    <x v="15"/>
    <n v="1"/>
    <n v="50"/>
    <n v="20"/>
    <n v="1000"/>
    <n v="83.33"/>
    <x v="0"/>
    <x v="1"/>
  </r>
  <r>
    <x v="62"/>
    <d v="2023-12-22T00:00:00"/>
    <x v="15"/>
    <n v="2"/>
    <n v="55"/>
    <n v="20"/>
    <n v="1100"/>
    <n v="91.67"/>
    <x v="0"/>
    <x v="1"/>
  </r>
  <r>
    <x v="62"/>
    <d v="2023-12-22T00:00:00"/>
    <x v="15"/>
    <n v="3"/>
    <n v="55"/>
    <n v="20"/>
    <n v="1100"/>
    <n v="91.67"/>
    <x v="0"/>
    <x v="1"/>
  </r>
  <r>
    <x v="62"/>
    <d v="2023-12-22T00:00:00"/>
    <x v="20"/>
    <n v="1"/>
    <n v="5"/>
    <n v="25"/>
    <n v="125"/>
    <n v="9.17"/>
    <x v="0"/>
    <x v="1"/>
  </r>
  <r>
    <x v="62"/>
    <d v="2023-12-22T00:00:00"/>
    <x v="20"/>
    <n v="2"/>
    <n v="5"/>
    <n v="25"/>
    <n v="125"/>
    <n v="9.17"/>
    <x v="0"/>
    <x v="1"/>
  </r>
  <r>
    <x v="62"/>
    <d v="2023-12-22T00:00:00"/>
    <x v="20"/>
    <n v="3"/>
    <n v="5"/>
    <n v="25"/>
    <n v="125"/>
    <n v="9.17"/>
    <x v="0"/>
    <x v="1"/>
  </r>
  <r>
    <x v="62"/>
    <d v="2023-12-22T00:00:00"/>
    <x v="20"/>
    <n v="4"/>
    <n v="10"/>
    <n v="25"/>
    <n v="250"/>
    <n v="18.329999999999998"/>
    <x v="0"/>
    <x v="1"/>
  </r>
  <r>
    <x v="63"/>
    <d v="2023-12-24T00:00:00"/>
    <x v="9"/>
    <n v="1"/>
    <n v="45"/>
    <n v="10"/>
    <n v="450"/>
    <n v="60"/>
    <x v="1"/>
    <x v="0"/>
  </r>
  <r>
    <x v="63"/>
    <d v="2023-12-24T00:00:00"/>
    <x v="9"/>
    <n v="2"/>
    <n v="95"/>
    <n v="10"/>
    <n v="950"/>
    <n v="126.67"/>
    <x v="1"/>
    <x v="0"/>
  </r>
  <r>
    <x v="63"/>
    <d v="2023-12-24T00:00:00"/>
    <x v="9"/>
    <n v="3"/>
    <n v="135"/>
    <n v="5"/>
    <n v="675"/>
    <n v="157.5"/>
    <x v="1"/>
    <x v="0"/>
  </r>
  <r>
    <x v="63"/>
    <d v="2023-12-24T00:00:00"/>
    <x v="9"/>
    <n v="4"/>
    <n v="150"/>
    <n v="10"/>
    <n v="1500"/>
    <n v="200"/>
    <x v="1"/>
    <x v="0"/>
  </r>
  <r>
    <x v="63"/>
    <d v="2023-12-24T00:00:00"/>
    <x v="9"/>
    <n v="5"/>
    <n v="135"/>
    <n v="8"/>
    <n v="1080"/>
    <n v="171"/>
    <x v="1"/>
    <x v="0"/>
  </r>
  <r>
    <x v="63"/>
    <d v="2023-12-24T00:00:00"/>
    <x v="2"/>
    <n v="1"/>
    <n v="185"/>
    <n v="10"/>
    <n v="1850"/>
    <n v="246.67"/>
    <x v="1"/>
    <x v="0"/>
  </r>
  <r>
    <x v="63"/>
    <d v="2023-12-24T00:00:00"/>
    <x v="2"/>
    <n v="2"/>
    <n v="235"/>
    <n v="10"/>
    <n v="2350"/>
    <n v="313.33"/>
    <x v="1"/>
    <x v="0"/>
  </r>
  <r>
    <x v="63"/>
    <d v="2023-12-24T00:00:00"/>
    <x v="2"/>
    <n v="3"/>
    <n v="235"/>
    <n v="6"/>
    <n v="1410"/>
    <n v="282"/>
    <x v="1"/>
    <x v="0"/>
  </r>
  <r>
    <x v="63"/>
    <d v="2023-12-24T00:00:00"/>
    <x v="20"/>
    <n v="1"/>
    <n v="10"/>
    <n v="25"/>
    <n v="250"/>
    <n v="18.329999999999998"/>
    <x v="1"/>
    <x v="1"/>
  </r>
  <r>
    <x v="63"/>
    <d v="2023-12-24T00:00:00"/>
    <x v="20"/>
    <n v="2"/>
    <n v="10"/>
    <n v="25"/>
    <n v="250"/>
    <n v="18.329999999999998"/>
    <x v="1"/>
    <x v="1"/>
  </r>
  <r>
    <x v="63"/>
    <d v="2023-12-24T00:00:00"/>
    <x v="20"/>
    <n v="3"/>
    <n v="10"/>
    <n v="25"/>
    <n v="250"/>
    <n v="18.329999999999998"/>
    <x v="1"/>
    <x v="1"/>
  </r>
  <r>
    <x v="63"/>
    <d v="2023-12-24T00:00:00"/>
    <x v="20"/>
    <n v="4"/>
    <n v="25"/>
    <n v="20"/>
    <n v="500"/>
    <n v="41.67"/>
    <x v="1"/>
    <x v="1"/>
  </r>
  <r>
    <x v="64"/>
    <d v="2023-12-25T00:00:00"/>
    <x v="3"/>
    <n v="1"/>
    <n v="45"/>
    <n v="20"/>
    <n v="900"/>
    <n v="75"/>
    <x v="2"/>
    <x v="0"/>
  </r>
  <r>
    <x v="64"/>
    <d v="2023-12-25T00:00:00"/>
    <x v="3"/>
    <n v="2"/>
    <n v="95"/>
    <n v="12"/>
    <n v="1140"/>
    <n v="133"/>
    <x v="2"/>
    <x v="0"/>
  </r>
  <r>
    <x v="64"/>
    <d v="2023-12-25T00:00:00"/>
    <x v="3"/>
    <n v="3"/>
    <n v="135"/>
    <n v="5"/>
    <n v="675"/>
    <n v="157.5"/>
    <x v="2"/>
    <x v="0"/>
  </r>
  <r>
    <x v="64"/>
    <d v="2023-12-25T00:00:00"/>
    <x v="3"/>
    <n v="4"/>
    <n v="155"/>
    <n v="5"/>
    <n v="775"/>
    <n v="180.83"/>
    <x v="2"/>
    <x v="0"/>
  </r>
  <r>
    <x v="64"/>
    <d v="2023-12-25T00:00:00"/>
    <x v="3"/>
    <n v="5"/>
    <n v="155"/>
    <n v="5"/>
    <n v="775"/>
    <n v="180.83"/>
    <x v="2"/>
    <x v="0"/>
  </r>
  <r>
    <x v="64"/>
    <d v="2023-12-25T00:00:00"/>
    <x v="10"/>
    <n v="1"/>
    <n v="45"/>
    <n v="12"/>
    <n v="540"/>
    <n v="63"/>
    <x v="2"/>
    <x v="1"/>
  </r>
  <r>
    <x v="64"/>
    <d v="2023-12-25T00:00:00"/>
    <x v="10"/>
    <n v="2"/>
    <n v="95"/>
    <n v="12"/>
    <n v="1140"/>
    <n v="133"/>
    <x v="2"/>
    <x v="1"/>
  </r>
  <r>
    <x v="64"/>
    <d v="2023-12-25T00:00:00"/>
    <x v="10"/>
    <n v="3"/>
    <n v="110"/>
    <n v="11"/>
    <n v="1210"/>
    <n v="150.33000000000001"/>
    <x v="2"/>
    <x v="1"/>
  </r>
  <r>
    <x v="64"/>
    <d v="2023-12-25T00:00:00"/>
    <x v="10"/>
    <n v="4"/>
    <n v="110"/>
    <n v="8"/>
    <n v="880"/>
    <n v="139.33000000000001"/>
    <x v="2"/>
    <x v="1"/>
  </r>
  <r>
    <x v="64"/>
    <d v="2023-12-25T00:00:00"/>
    <x v="5"/>
    <n v="1"/>
    <n v="75"/>
    <n v="10"/>
    <n v="750"/>
    <n v="100"/>
    <x v="2"/>
    <x v="0"/>
  </r>
  <r>
    <x v="64"/>
    <d v="2023-12-25T00:00:00"/>
    <x v="5"/>
    <n v="2"/>
    <n v="75"/>
    <n v="8"/>
    <n v="600"/>
    <n v="95"/>
    <x v="2"/>
    <x v="0"/>
  </r>
  <r>
    <x v="64"/>
    <d v="2023-12-25T00:00:00"/>
    <x v="5"/>
    <n v="3"/>
    <n v="70"/>
    <n v="8"/>
    <n v="560"/>
    <n v="88.67"/>
    <x v="2"/>
    <x v="0"/>
  </r>
  <r>
    <x v="64"/>
    <d v="2023-12-25T00:00:00"/>
    <x v="12"/>
    <n v="1"/>
    <n v="15"/>
    <n v="20"/>
    <n v="300"/>
    <n v="25"/>
    <x v="2"/>
    <x v="1"/>
  </r>
  <r>
    <x v="64"/>
    <d v="2023-12-25T00:00:00"/>
    <x v="12"/>
    <n v="2"/>
    <n v="15"/>
    <n v="21"/>
    <n v="315"/>
    <n v="25.5"/>
    <x v="2"/>
    <x v="1"/>
  </r>
  <r>
    <x v="64"/>
    <d v="2023-12-25T00:00:00"/>
    <x v="12"/>
    <n v="3"/>
    <n v="15"/>
    <n v="20"/>
    <n v="300"/>
    <n v="25"/>
    <x v="2"/>
    <x v="1"/>
  </r>
  <r>
    <x v="65"/>
    <d v="2023-12-26T00:00:00"/>
    <x v="0"/>
    <n v="1"/>
    <n v="75"/>
    <n v="15"/>
    <n v="1125"/>
    <n v="112.5"/>
    <x v="0"/>
    <x v="0"/>
  </r>
  <r>
    <x v="65"/>
    <d v="2023-12-26T00:00:00"/>
    <x v="0"/>
    <n v="2"/>
    <n v="80"/>
    <n v="15"/>
    <n v="1200"/>
    <n v="120"/>
    <x v="0"/>
    <x v="0"/>
  </r>
  <r>
    <x v="65"/>
    <d v="2023-12-26T00:00:00"/>
    <x v="0"/>
    <n v="3"/>
    <n v="80"/>
    <n v="15"/>
    <n v="1200"/>
    <n v="120"/>
    <x v="0"/>
    <x v="0"/>
  </r>
  <r>
    <x v="65"/>
    <d v="2023-12-26T00:00:00"/>
    <x v="8"/>
    <n v="1"/>
    <n v="50"/>
    <n v="12"/>
    <n v="600"/>
    <n v="70"/>
    <x v="0"/>
    <x v="1"/>
  </r>
  <r>
    <x v="65"/>
    <d v="2023-12-26T00:00:00"/>
    <x v="8"/>
    <n v="2"/>
    <n v="60"/>
    <n v="12"/>
    <n v="720"/>
    <n v="84"/>
    <x v="0"/>
    <x v="1"/>
  </r>
  <r>
    <x v="65"/>
    <d v="2023-12-26T00:00:00"/>
    <x v="11"/>
    <n v="1"/>
    <n v="176"/>
    <n v="10"/>
    <n v="1760"/>
    <n v="234.67"/>
    <x v="0"/>
    <x v="0"/>
  </r>
  <r>
    <x v="65"/>
    <d v="2023-12-26T00:00:00"/>
    <x v="11"/>
    <n v="2"/>
    <n v="176"/>
    <n v="13"/>
    <n v="2288"/>
    <n v="252.27"/>
    <x v="0"/>
    <x v="0"/>
  </r>
  <r>
    <x v="65"/>
    <d v="2023-12-26T00:00:00"/>
    <x v="11"/>
    <n v="3"/>
    <n v="176"/>
    <n v="8"/>
    <n v="1408"/>
    <n v="222.93"/>
    <x v="0"/>
    <x v="0"/>
  </r>
  <r>
    <x v="65"/>
    <d v="2023-12-26T00:00:00"/>
    <x v="11"/>
    <n v="4"/>
    <n v="186"/>
    <n v="9"/>
    <n v="1674"/>
    <n v="241.8"/>
    <x v="0"/>
    <x v="0"/>
  </r>
  <r>
    <x v="65"/>
    <d v="2023-12-26T00:00:00"/>
    <x v="15"/>
    <n v="1"/>
    <n v="50"/>
    <n v="20"/>
    <n v="1000"/>
    <n v="83.33"/>
    <x v="0"/>
    <x v="1"/>
  </r>
  <r>
    <x v="65"/>
    <d v="2023-12-26T00:00:00"/>
    <x v="15"/>
    <n v="2"/>
    <n v="60"/>
    <n v="20"/>
    <n v="1200"/>
    <n v="100"/>
    <x v="0"/>
    <x v="1"/>
  </r>
  <r>
    <x v="65"/>
    <d v="2023-12-26T00:00:00"/>
    <x v="15"/>
    <n v="3"/>
    <n v="60"/>
    <n v="20"/>
    <n v="1200"/>
    <n v="100"/>
    <x v="0"/>
    <x v="1"/>
  </r>
  <r>
    <x v="65"/>
    <d v="2023-12-26T00:00:00"/>
    <x v="15"/>
    <n v="4"/>
    <n v="30"/>
    <n v="20"/>
    <n v="600"/>
    <n v="50"/>
    <x v="0"/>
    <x v="1"/>
  </r>
  <r>
    <x v="65"/>
    <d v="2023-12-26T00:00:00"/>
    <x v="20"/>
    <n v="1"/>
    <n v="10"/>
    <n v="25"/>
    <n v="250"/>
    <n v="18.329999999999998"/>
    <x v="0"/>
    <x v="1"/>
  </r>
  <r>
    <x v="65"/>
    <d v="2023-12-26T00:00:00"/>
    <x v="20"/>
    <n v="2"/>
    <n v="20"/>
    <n v="20"/>
    <n v="400"/>
    <n v="33.33"/>
    <x v="0"/>
    <x v="1"/>
  </r>
  <r>
    <x v="65"/>
    <d v="2023-12-26T00:00:00"/>
    <x v="20"/>
    <n v="3"/>
    <n v="20"/>
    <n v="20"/>
    <n v="400"/>
    <n v="33.33"/>
    <x v="0"/>
    <x v="1"/>
  </r>
  <r>
    <x v="65"/>
    <d v="2023-12-26T00:00:00"/>
    <x v="20"/>
    <n v="4"/>
    <n v="20"/>
    <n v="15"/>
    <n v="300"/>
    <n v="30"/>
    <x v="0"/>
    <x v="1"/>
  </r>
  <r>
    <x v="66"/>
    <d v="2023-12-27T00:00:00"/>
    <x v="1"/>
    <n v="1"/>
    <n v="65"/>
    <n v="15"/>
    <n v="975"/>
    <n v="97.5"/>
    <x v="3"/>
    <x v="1"/>
  </r>
  <r>
    <x v="66"/>
    <d v="2023-12-27T00:00:00"/>
    <x v="1"/>
    <n v="2"/>
    <n v="65"/>
    <n v="15"/>
    <n v="975"/>
    <n v="97.5"/>
    <x v="3"/>
    <x v="1"/>
  </r>
  <r>
    <x v="66"/>
    <d v="2023-12-27T00:00:00"/>
    <x v="1"/>
    <n v="3"/>
    <n v="65"/>
    <n v="12"/>
    <n v="780"/>
    <n v="91"/>
    <x v="3"/>
    <x v="1"/>
  </r>
  <r>
    <x v="66"/>
    <d v="2023-12-27T00:00:00"/>
    <x v="4"/>
    <n v="1"/>
    <n v="60"/>
    <n v="20"/>
    <n v="1200"/>
    <n v="100"/>
    <x v="3"/>
    <x v="1"/>
  </r>
  <r>
    <x v="66"/>
    <d v="2023-12-27T00:00:00"/>
    <x v="4"/>
    <n v="2"/>
    <n v="70"/>
    <n v="14"/>
    <n v="980"/>
    <n v="102.67"/>
    <x v="3"/>
    <x v="1"/>
  </r>
  <r>
    <x v="66"/>
    <d v="2023-12-27T00:00:00"/>
    <x v="4"/>
    <n v="3"/>
    <n v="70"/>
    <n v="11"/>
    <n v="770"/>
    <n v="95.67"/>
    <x v="3"/>
    <x v="1"/>
  </r>
  <r>
    <x v="67"/>
    <d v="2023-12-28T00:00:00"/>
    <x v="22"/>
    <n v="1"/>
    <n v="1"/>
    <n v="15"/>
    <n v="15"/>
    <n v="1.5"/>
    <x v="1"/>
    <x v="1"/>
  </r>
  <r>
    <x v="67"/>
    <d v="2023-12-28T00:00:00"/>
    <x v="22"/>
    <n v="2"/>
    <n v="1"/>
    <n v="15"/>
    <n v="15"/>
    <n v="1.5"/>
    <x v="1"/>
    <x v="1"/>
  </r>
  <r>
    <x v="67"/>
    <d v="2023-12-28T00:00:00"/>
    <x v="9"/>
    <n v="1"/>
    <n v="45"/>
    <n v="12"/>
    <n v="540"/>
    <n v="63"/>
    <x v="1"/>
    <x v="0"/>
  </r>
  <r>
    <x v="67"/>
    <d v="2023-12-28T00:00:00"/>
    <x v="9"/>
    <n v="2"/>
    <n v="95"/>
    <n v="10"/>
    <n v="950"/>
    <n v="126.67"/>
    <x v="1"/>
    <x v="0"/>
  </r>
  <r>
    <x v="67"/>
    <d v="2023-12-28T00:00:00"/>
    <x v="9"/>
    <n v="3"/>
    <n v="135"/>
    <n v="5"/>
    <n v="675"/>
    <n v="157.5"/>
    <x v="1"/>
    <x v="0"/>
  </r>
  <r>
    <x v="67"/>
    <d v="2023-12-28T00:00:00"/>
    <x v="9"/>
    <n v="4"/>
    <n v="155"/>
    <n v="10"/>
    <n v="1550"/>
    <n v="206.67"/>
    <x v="1"/>
    <x v="0"/>
  </r>
  <r>
    <x v="67"/>
    <d v="2023-12-28T00:00:00"/>
    <x v="9"/>
    <n v="5"/>
    <n v="135"/>
    <n v="10"/>
    <n v="1350"/>
    <n v="180"/>
    <x v="1"/>
    <x v="0"/>
  </r>
  <r>
    <x v="67"/>
    <d v="2023-12-28T00:00:00"/>
    <x v="2"/>
    <n v="1"/>
    <n v="185"/>
    <n v="10"/>
    <n v="1850"/>
    <n v="246.67"/>
    <x v="1"/>
    <x v="0"/>
  </r>
  <r>
    <x v="67"/>
    <d v="2023-12-28T00:00:00"/>
    <x v="2"/>
    <n v="2"/>
    <n v="240"/>
    <n v="10"/>
    <n v="2400"/>
    <n v="320"/>
    <x v="1"/>
    <x v="0"/>
  </r>
  <r>
    <x v="67"/>
    <d v="2023-12-28T00:00:00"/>
    <x v="2"/>
    <n v="3"/>
    <n v="185"/>
    <n v="10"/>
    <n v="1850"/>
    <n v="246.67"/>
    <x v="1"/>
    <x v="0"/>
  </r>
  <r>
    <x v="68"/>
    <d v="2023-12-29T00:00:00"/>
    <x v="3"/>
    <n v="1"/>
    <n v="45"/>
    <n v="15"/>
    <n v="675"/>
    <n v="67.5"/>
    <x v="2"/>
    <x v="0"/>
  </r>
  <r>
    <x v="68"/>
    <d v="2023-12-29T00:00:00"/>
    <x v="3"/>
    <n v="2"/>
    <n v="95"/>
    <n v="12"/>
    <n v="1140"/>
    <n v="133"/>
    <x v="2"/>
    <x v="0"/>
  </r>
  <r>
    <x v="68"/>
    <d v="2023-12-29T00:00:00"/>
    <x v="3"/>
    <n v="3"/>
    <n v="135"/>
    <n v="5"/>
    <n v="675"/>
    <n v="157.5"/>
    <x v="2"/>
    <x v="0"/>
  </r>
  <r>
    <x v="68"/>
    <d v="2023-12-29T00:00:00"/>
    <x v="3"/>
    <n v="4"/>
    <n v="160"/>
    <n v="5"/>
    <n v="800"/>
    <n v="186.67"/>
    <x v="2"/>
    <x v="0"/>
  </r>
  <r>
    <x v="68"/>
    <d v="2023-12-29T00:00:00"/>
    <x v="3"/>
    <n v="5"/>
    <n v="135"/>
    <n v="10"/>
    <n v="1350"/>
    <n v="180"/>
    <x v="2"/>
    <x v="0"/>
  </r>
  <r>
    <x v="68"/>
    <d v="2023-12-29T00:00:00"/>
    <x v="10"/>
    <n v="1"/>
    <n v="45"/>
    <n v="12"/>
    <n v="540"/>
    <n v="63"/>
    <x v="2"/>
    <x v="1"/>
  </r>
  <r>
    <x v="68"/>
    <d v="2023-12-29T00:00:00"/>
    <x v="10"/>
    <n v="2"/>
    <n v="110"/>
    <n v="10"/>
    <n v="1100"/>
    <n v="146.66999999999999"/>
    <x v="2"/>
    <x v="1"/>
  </r>
  <r>
    <x v="68"/>
    <d v="2023-12-29T00:00:00"/>
    <x v="10"/>
    <n v="3"/>
    <n v="115"/>
    <n v="12"/>
    <n v="1380"/>
    <n v="161"/>
    <x v="2"/>
    <x v="1"/>
  </r>
  <r>
    <x v="68"/>
    <d v="2023-12-29T00:00:00"/>
    <x v="10"/>
    <n v="4"/>
    <n v="115"/>
    <n v="8"/>
    <n v="920"/>
    <n v="145.66999999999999"/>
    <x v="2"/>
    <x v="1"/>
  </r>
  <r>
    <x v="68"/>
    <d v="2023-12-29T00:00:00"/>
    <x v="5"/>
    <n v="1"/>
    <n v="75"/>
    <n v="10"/>
    <n v="750"/>
    <n v="100"/>
    <x v="2"/>
    <x v="0"/>
  </r>
  <r>
    <x v="68"/>
    <d v="2023-12-29T00:00:00"/>
    <x v="5"/>
    <n v="2"/>
    <n v="80"/>
    <n v="9"/>
    <n v="720"/>
    <n v="104"/>
    <x v="2"/>
    <x v="0"/>
  </r>
  <r>
    <x v="68"/>
    <d v="2023-12-29T00:00:00"/>
    <x v="5"/>
    <n v="3"/>
    <n v="80"/>
    <n v="7"/>
    <n v="560"/>
    <n v="98.67"/>
    <x v="2"/>
    <x v="0"/>
  </r>
  <r>
    <x v="68"/>
    <d v="2023-12-29T00:00:00"/>
    <x v="19"/>
    <n v="1"/>
    <n v="5"/>
    <n v="10"/>
    <n v="50"/>
    <n v="6.67"/>
    <x v="2"/>
    <x v="1"/>
  </r>
  <r>
    <x v="68"/>
    <d v="2023-12-29T00:00:00"/>
    <x v="12"/>
    <n v="1"/>
    <n v="15"/>
    <n v="20"/>
    <n v="300"/>
    <n v="25"/>
    <x v="2"/>
    <x v="1"/>
  </r>
  <r>
    <x v="68"/>
    <d v="2023-12-29T00:00:00"/>
    <x v="12"/>
    <n v="2"/>
    <n v="15"/>
    <n v="20"/>
    <n v="300"/>
    <n v="25"/>
    <x v="2"/>
    <x v="1"/>
  </r>
  <r>
    <x v="68"/>
    <d v="2023-12-29T00:00:00"/>
    <x v="12"/>
    <n v="3"/>
    <n v="20"/>
    <n v="15"/>
    <n v="300"/>
    <n v="30"/>
    <x v="2"/>
    <x v="1"/>
  </r>
  <r>
    <x v="69"/>
    <d v="2023-12-30T00:00:00"/>
    <x v="0"/>
    <n v="1"/>
    <n v="85"/>
    <n v="15"/>
    <n v="1275"/>
    <n v="127.5"/>
    <x v="0"/>
    <x v="0"/>
  </r>
  <r>
    <x v="69"/>
    <d v="2023-12-30T00:00:00"/>
    <x v="0"/>
    <n v="2"/>
    <n v="85"/>
    <n v="15"/>
    <n v="1275"/>
    <n v="127.5"/>
    <x v="0"/>
    <x v="0"/>
  </r>
  <r>
    <x v="69"/>
    <d v="2023-12-30T00:00:00"/>
    <x v="0"/>
    <n v="3"/>
    <n v="85"/>
    <n v="14"/>
    <n v="1190"/>
    <n v="124.67"/>
    <x v="0"/>
    <x v="0"/>
  </r>
  <r>
    <x v="69"/>
    <d v="2023-12-30T00:00:00"/>
    <x v="8"/>
    <n v="1"/>
    <n v="60"/>
    <n v="12"/>
    <n v="720"/>
    <n v="84"/>
    <x v="0"/>
    <x v="1"/>
  </r>
  <r>
    <x v="69"/>
    <d v="2023-12-30T00:00:00"/>
    <x v="8"/>
    <n v="2"/>
    <n v="65"/>
    <n v="12"/>
    <n v="780"/>
    <n v="91"/>
    <x v="0"/>
    <x v="1"/>
  </r>
  <r>
    <x v="69"/>
    <d v="2023-12-30T00:00:00"/>
    <x v="8"/>
    <n v="3"/>
    <n v="65"/>
    <n v="12"/>
    <n v="780"/>
    <n v="91"/>
    <x v="0"/>
    <x v="1"/>
  </r>
  <r>
    <x v="69"/>
    <d v="2023-12-30T00:00:00"/>
    <x v="11"/>
    <n v="1"/>
    <n v="176"/>
    <n v="13"/>
    <n v="2288"/>
    <n v="252.27"/>
    <x v="0"/>
    <x v="0"/>
  </r>
  <r>
    <x v="69"/>
    <d v="2023-12-30T00:00:00"/>
    <x v="11"/>
    <n v="2"/>
    <n v="186"/>
    <n v="11"/>
    <n v="2046"/>
    <n v="254.2"/>
    <x v="0"/>
    <x v="0"/>
  </r>
  <r>
    <x v="69"/>
    <d v="2023-12-30T00:00:00"/>
    <x v="11"/>
    <n v="3"/>
    <n v="176"/>
    <n v="12"/>
    <n v="2112"/>
    <n v="246.4"/>
    <x v="0"/>
    <x v="0"/>
  </r>
  <r>
    <x v="69"/>
    <d v="2023-12-30T00:00:00"/>
    <x v="11"/>
    <n v="4"/>
    <n v="186"/>
    <n v="8"/>
    <n v="1488"/>
    <n v="235.6"/>
    <x v="0"/>
    <x v="0"/>
  </r>
  <r>
    <x v="69"/>
    <d v="2023-12-30T00:00:00"/>
    <x v="15"/>
    <n v="1"/>
    <n v="60"/>
    <n v="20"/>
    <n v="1200"/>
    <n v="100"/>
    <x v="0"/>
    <x v="1"/>
  </r>
  <r>
    <x v="69"/>
    <d v="2023-12-30T00:00:00"/>
    <x v="15"/>
    <n v="2"/>
    <n v="65"/>
    <n v="20"/>
    <n v="1300"/>
    <n v="108.33"/>
    <x v="0"/>
    <x v="1"/>
  </r>
  <r>
    <x v="69"/>
    <d v="2023-12-30T00:00:00"/>
    <x v="15"/>
    <n v="3"/>
    <n v="65"/>
    <n v="20"/>
    <n v="1300"/>
    <n v="108.33"/>
    <x v="0"/>
    <x v="1"/>
  </r>
  <r>
    <x v="69"/>
    <d v="2023-12-30T00:00:00"/>
    <x v="20"/>
    <n v="1"/>
    <n v="20"/>
    <n v="15"/>
    <n v="300"/>
    <n v="30"/>
    <x v="0"/>
    <x v="1"/>
  </r>
  <r>
    <x v="69"/>
    <d v="2023-12-30T00:00:00"/>
    <x v="20"/>
    <n v="2"/>
    <n v="20"/>
    <n v="15"/>
    <n v="300"/>
    <n v="30"/>
    <x v="0"/>
    <x v="1"/>
  </r>
  <r>
    <x v="69"/>
    <d v="2023-12-30T00:00:00"/>
    <x v="20"/>
    <n v="3"/>
    <n v="20"/>
    <n v="15"/>
    <n v="300"/>
    <n v="30"/>
    <x v="0"/>
    <x v="1"/>
  </r>
  <r>
    <x v="70"/>
    <d v="2023-12-31T00:00:00"/>
    <x v="17"/>
    <n v="1"/>
    <n v="40"/>
    <n v="15"/>
    <n v="600"/>
    <n v="60"/>
    <x v="3"/>
    <x v="1"/>
  </r>
  <r>
    <x v="70"/>
    <d v="2023-12-31T00:00:00"/>
    <x v="17"/>
    <n v="2"/>
    <n v="40"/>
    <n v="15"/>
    <n v="600"/>
    <n v="60"/>
    <x v="3"/>
    <x v="1"/>
  </r>
  <r>
    <x v="70"/>
    <d v="2023-12-31T00:00:00"/>
    <x v="17"/>
    <n v="3"/>
    <n v="40"/>
    <n v="15"/>
    <n v="600"/>
    <n v="60"/>
    <x v="3"/>
    <x v="1"/>
  </r>
  <r>
    <x v="70"/>
    <d v="2023-12-31T00:00:00"/>
    <x v="23"/>
    <n v="1"/>
    <n v="20"/>
    <n v="15"/>
    <n v="300"/>
    <n v="30"/>
    <x v="3"/>
    <x v="1"/>
  </r>
  <r>
    <x v="70"/>
    <d v="2023-12-31T00:00:00"/>
    <x v="23"/>
    <n v="2"/>
    <n v="25"/>
    <n v="15"/>
    <n v="375"/>
    <n v="37.5"/>
    <x v="3"/>
    <x v="1"/>
  </r>
  <r>
    <x v="70"/>
    <d v="2023-12-31T00:00:00"/>
    <x v="1"/>
    <n v="1"/>
    <n v="65"/>
    <n v="12"/>
    <n v="780"/>
    <n v="91"/>
    <x v="3"/>
    <x v="1"/>
  </r>
  <r>
    <x v="70"/>
    <d v="2023-12-31T00:00:00"/>
    <x v="1"/>
    <n v="2"/>
    <n v="75"/>
    <n v="12"/>
    <n v="900"/>
    <n v="105"/>
    <x v="3"/>
    <x v="1"/>
  </r>
  <r>
    <x v="70"/>
    <d v="2023-12-31T00:00:00"/>
    <x v="1"/>
    <n v="3"/>
    <n v="75"/>
    <n v="12"/>
    <n v="900"/>
    <n v="105"/>
    <x v="3"/>
    <x v="1"/>
  </r>
  <r>
    <x v="70"/>
    <d v="2023-12-31T00:00:00"/>
    <x v="4"/>
    <n v="1"/>
    <n v="65"/>
    <n v="12"/>
    <n v="780"/>
    <n v="91"/>
    <x v="3"/>
    <x v="1"/>
  </r>
  <r>
    <x v="70"/>
    <d v="2023-12-31T00:00:00"/>
    <x v="4"/>
    <n v="2"/>
    <n v="75"/>
    <n v="10"/>
    <n v="750"/>
    <n v="100"/>
    <x v="3"/>
    <x v="1"/>
  </r>
  <r>
    <x v="70"/>
    <d v="2023-12-31T00:00:00"/>
    <x v="4"/>
    <n v="3"/>
    <n v="70"/>
    <n v="10"/>
    <n v="700"/>
    <n v="93.33"/>
    <x v="3"/>
    <x v="1"/>
  </r>
  <r>
    <x v="70"/>
    <d v="2023-12-31T00:00:00"/>
    <x v="14"/>
    <n v="1"/>
    <n v="20"/>
    <n v="20"/>
    <n v="400"/>
    <n v="33.33"/>
    <x v="3"/>
    <x v="1"/>
  </r>
  <r>
    <x v="70"/>
    <d v="2023-12-31T00:00:00"/>
    <x v="14"/>
    <n v="2"/>
    <n v="25"/>
    <n v="15"/>
    <n v="375"/>
    <n v="37.5"/>
    <x v="3"/>
    <x v="1"/>
  </r>
  <r>
    <x v="71"/>
    <d v="2024-01-01T00:00:00"/>
    <x v="13"/>
    <n v="1"/>
    <n v="185"/>
    <n v="5"/>
    <n v="925"/>
    <n v="215.83"/>
    <x v="1"/>
    <x v="1"/>
  </r>
  <r>
    <x v="71"/>
    <d v="2024-01-01T00:00:00"/>
    <x v="13"/>
    <n v="2"/>
    <n v="225"/>
    <n v="5"/>
    <n v="1125"/>
    <n v="262.5"/>
    <x v="1"/>
    <x v="1"/>
  </r>
  <r>
    <x v="71"/>
    <d v="2024-01-01T00:00:00"/>
    <x v="13"/>
    <n v="3"/>
    <n v="275"/>
    <n v="5"/>
    <n v="1375"/>
    <n v="320.83"/>
    <x v="1"/>
    <x v="1"/>
  </r>
  <r>
    <x v="71"/>
    <d v="2024-01-01T00:00:00"/>
    <x v="13"/>
    <n v="4"/>
    <n v="285"/>
    <n v="5"/>
    <n v="1425"/>
    <n v="332.5"/>
    <x v="1"/>
    <x v="1"/>
  </r>
  <r>
    <x v="71"/>
    <d v="2024-01-01T00:00:00"/>
    <x v="9"/>
    <n v="1"/>
    <n v="45"/>
    <n v="12"/>
    <n v="540"/>
    <n v="63"/>
    <x v="1"/>
    <x v="0"/>
  </r>
  <r>
    <x v="71"/>
    <d v="2024-01-01T00:00:00"/>
    <x v="9"/>
    <n v="2"/>
    <n v="95"/>
    <n v="12"/>
    <n v="1140"/>
    <n v="133"/>
    <x v="1"/>
    <x v="0"/>
  </r>
  <r>
    <x v="71"/>
    <d v="2024-01-01T00:00:00"/>
    <x v="9"/>
    <n v="3"/>
    <n v="135"/>
    <n v="6"/>
    <n v="810"/>
    <n v="162"/>
    <x v="1"/>
    <x v="0"/>
  </r>
  <r>
    <x v="71"/>
    <d v="2024-01-01T00:00:00"/>
    <x v="9"/>
    <n v="4"/>
    <n v="160"/>
    <n v="10"/>
    <n v="1600"/>
    <n v="213.33"/>
    <x v="1"/>
    <x v="0"/>
  </r>
  <r>
    <x v="71"/>
    <d v="2024-01-01T00:00:00"/>
    <x v="9"/>
    <n v="5"/>
    <n v="135"/>
    <n v="8"/>
    <n v="1080"/>
    <n v="171"/>
    <x v="1"/>
    <x v="0"/>
  </r>
  <r>
    <x v="72"/>
    <d v="2024-01-02T00:00:00"/>
    <x v="3"/>
    <n v="1"/>
    <n v="45"/>
    <n v="12"/>
    <n v="540"/>
    <n v="63"/>
    <x v="2"/>
    <x v="0"/>
  </r>
  <r>
    <x v="72"/>
    <d v="2024-01-02T00:00:00"/>
    <x v="3"/>
    <n v="2"/>
    <n v="95"/>
    <n v="12"/>
    <n v="1140"/>
    <n v="133"/>
    <x v="2"/>
    <x v="0"/>
  </r>
  <r>
    <x v="72"/>
    <d v="2024-01-02T00:00:00"/>
    <x v="3"/>
    <n v="3"/>
    <n v="135"/>
    <n v="7"/>
    <n v="945"/>
    <n v="166.5"/>
    <x v="2"/>
    <x v="0"/>
  </r>
  <r>
    <x v="72"/>
    <d v="2024-01-02T00:00:00"/>
    <x v="3"/>
    <n v="4"/>
    <n v="165"/>
    <n v="4"/>
    <n v="660"/>
    <n v="187"/>
    <x v="2"/>
    <x v="0"/>
  </r>
  <r>
    <x v="72"/>
    <d v="2024-01-02T00:00:00"/>
    <x v="10"/>
    <n v="1"/>
    <n v="45"/>
    <n v="15"/>
    <n v="675"/>
    <n v="67.5"/>
    <x v="2"/>
    <x v="1"/>
  </r>
  <r>
    <x v="72"/>
    <d v="2024-01-02T00:00:00"/>
    <x v="10"/>
    <n v="2"/>
    <n v="110"/>
    <n v="10"/>
    <n v="1100"/>
    <n v="146.66999999999999"/>
    <x v="2"/>
    <x v="1"/>
  </r>
  <r>
    <x v="72"/>
    <d v="2024-01-02T00:00:00"/>
    <x v="10"/>
    <n v="3"/>
    <n v="120"/>
    <n v="9"/>
    <n v="1080"/>
    <n v="156"/>
    <x v="2"/>
    <x v="1"/>
  </r>
  <r>
    <x v="72"/>
    <d v="2024-01-02T00:00:00"/>
    <x v="10"/>
    <n v="4"/>
    <n v="115"/>
    <n v="8"/>
    <n v="920"/>
    <n v="145.66999999999999"/>
    <x v="2"/>
    <x v="1"/>
  </r>
  <r>
    <x v="72"/>
    <d v="2024-01-02T00:00:00"/>
    <x v="5"/>
    <n v="1"/>
    <n v="85"/>
    <n v="7"/>
    <n v="595"/>
    <n v="104.83"/>
    <x v="2"/>
    <x v="0"/>
  </r>
  <r>
    <x v="72"/>
    <d v="2024-01-02T00:00:00"/>
    <x v="5"/>
    <n v="2"/>
    <n v="75"/>
    <n v="10"/>
    <n v="750"/>
    <n v="100"/>
    <x v="2"/>
    <x v="0"/>
  </r>
  <r>
    <x v="72"/>
    <d v="2024-01-02T00:00:00"/>
    <x v="5"/>
    <n v="3"/>
    <n v="75"/>
    <n v="9"/>
    <n v="675"/>
    <n v="97.5"/>
    <x v="2"/>
    <x v="0"/>
  </r>
  <r>
    <x v="72"/>
    <d v="2024-01-02T00:00:00"/>
    <x v="12"/>
    <n v="1"/>
    <n v="15"/>
    <n v="20"/>
    <n v="300"/>
    <n v="25"/>
    <x v="2"/>
    <x v="1"/>
  </r>
  <r>
    <x v="72"/>
    <d v="2024-01-02T00:00:00"/>
    <x v="12"/>
    <n v="2"/>
    <n v="15"/>
    <n v="20"/>
    <n v="300"/>
    <n v="25"/>
    <x v="2"/>
    <x v="1"/>
  </r>
  <r>
    <x v="72"/>
    <d v="2024-01-02T00:00:00"/>
    <x v="12"/>
    <n v="3"/>
    <n v="18"/>
    <n v="20"/>
    <n v="360"/>
    <n v="30"/>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ACA69B-C84C-48B9-B1E7-49D8879A8F65}" name="reps_vol"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57:R75" firstHeaderRow="1" firstDataRow="1" firstDataCol="1" rowPageCount="2" colPageCount="1"/>
  <pivotFields count="11">
    <pivotField axis="axisRow" numFmtId="164" showAll="0">
      <items count="149">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47"/>
        <item m="1" x="113"/>
        <item m="1" x="114"/>
        <item m="1" x="115"/>
        <item m="1" x="116"/>
        <item m="1" x="146"/>
        <item m="1" x="117"/>
        <item m="1" x="118"/>
        <item m="1" x="119"/>
        <item m="1" x="120"/>
        <item m="1" x="121"/>
        <item m="1" x="122"/>
        <item m="1" x="123"/>
        <item m="1" x="124"/>
        <item m="1" x="125"/>
        <item m="1" x="126"/>
        <item m="1" x="127"/>
        <item m="1" x="128"/>
        <item m="1" x="129"/>
        <item m="1" x="130"/>
        <item m="1" x="131"/>
        <item m="1" x="132"/>
        <item m="1" x="133"/>
        <item m="1" x="134"/>
        <item m="1" x="135"/>
        <item m="1" x="142"/>
        <item m="1" x="136"/>
        <item m="1" x="137"/>
        <item m="1" x="138"/>
        <item m="1" x="139"/>
        <item m="1" x="140"/>
        <item m="1" x="141"/>
        <item m="1" x="143"/>
        <item m="1" x="144"/>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numFmtId="14" showAll="0"/>
    <pivotField axis="axisPage" multipleItemSelectionAllowed="1" showAll="0">
      <items count="30">
        <item h="1" sd="0" x="7"/>
        <item h="1" sd="0" x="16"/>
        <item sd="0" x="0"/>
        <item h="1" sd="0" x="17"/>
        <item h="1" sd="0" x="13"/>
        <item h="1" sd="0" m="1" x="26"/>
        <item h="1" sd="0" x="1"/>
        <item h="1" sd="0" x="3"/>
        <item h="1" sd="0" x="9"/>
        <item h="1" sd="0" m="1" x="24"/>
        <item h="1" sd="0" x="10"/>
        <item h="1" sd="0" m="1" x="27"/>
        <item h="1" sd="0" x="21"/>
        <item h="1" sd="0" x="4"/>
        <item h="1" sd="0" x="5"/>
        <item h="1" sd="0" x="8"/>
        <item h="1" sd="0" x="11"/>
        <item h="1" sd="0" x="2"/>
        <item h="1" sd="0" x="6"/>
        <item h="1" sd="0" x="15"/>
        <item h="1" sd="0" x="20"/>
        <item h="1" sd="0" m="1" x="25"/>
        <item h="1" sd="0" x="19"/>
        <item h="1" sd="0" x="14"/>
        <item h="1" sd="0" x="18"/>
        <item h="1" sd="0" x="12"/>
        <item h="1" sd="0" m="1" x="28"/>
        <item h="1" x="22"/>
        <item h="1" x="23"/>
        <item t="default"/>
      </items>
    </pivotField>
    <pivotField showAll="0"/>
    <pivotField showAll="0"/>
    <pivotField dataField="1" showAll="0"/>
    <pivotField showAll="0"/>
    <pivotField showAll="0"/>
    <pivotField showAll="0"/>
    <pivotField axis="axisPage" showAll="0">
      <items count="4">
        <item x="1"/>
        <item m="1" x="2"/>
        <item x="0"/>
        <item t="default"/>
      </items>
    </pivotField>
    <pivotField showAll="0" defaultSubtotal="0">
      <items count="15">
        <item x="0"/>
        <item x="1"/>
        <item x="2"/>
        <item x="3"/>
        <item x="4"/>
        <item x="5"/>
        <item x="6"/>
        <item x="7"/>
        <item x="8"/>
        <item x="9"/>
        <item x="10"/>
        <item x="11"/>
        <item x="12"/>
        <item x="13"/>
        <item x="14"/>
      </items>
    </pivotField>
  </pivotFields>
  <rowFields count="1">
    <field x="0"/>
  </rowFields>
  <rowItems count="18">
    <i>
      <x v="75"/>
    </i>
    <i>
      <x v="80"/>
    </i>
    <i>
      <x v="83"/>
    </i>
    <i>
      <x v="86"/>
    </i>
    <i>
      <x v="89"/>
    </i>
    <i>
      <x v="92"/>
    </i>
    <i>
      <x v="95"/>
    </i>
    <i>
      <x v="98"/>
    </i>
    <i>
      <x v="104"/>
    </i>
    <i>
      <x v="115"/>
    </i>
    <i>
      <x v="121"/>
    </i>
    <i>
      <x v="124"/>
    </i>
    <i>
      <x v="128"/>
    </i>
    <i>
      <x v="131"/>
    </i>
    <i>
      <x v="134"/>
    </i>
    <i>
      <x v="137"/>
    </i>
    <i>
      <x v="140"/>
    </i>
    <i>
      <x v="144"/>
    </i>
  </rowItems>
  <colItems count="1">
    <i/>
  </colItems>
  <pageFields count="2">
    <pageField fld="9" item="2" hier="-1"/>
    <pageField fld="2" hier="-1"/>
  </pageFields>
  <dataFields count="1">
    <dataField name="Max of Reps" fld="5" subtotal="max"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B3AFC1-F063-4056-9805-C94B393D0361}" name="sets_routines"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J40:O115" firstHeaderRow="1" firstDataRow="2" firstDataCol="1"/>
  <pivotFields count="11">
    <pivotField axis="axisRow" numFmtId="164" showAll="0" measureFilter="1">
      <items count="149">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47"/>
        <item m="1" x="113"/>
        <item m="1" x="114"/>
        <item m="1" x="115"/>
        <item m="1" x="116"/>
        <item m="1" x="146"/>
        <item m="1" x="142"/>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3"/>
        <item m="1" x="144"/>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numFmtId="14" showAll="0"/>
    <pivotField showAll="0">
      <items count="30">
        <item x="7"/>
        <item x="0"/>
        <item x="13"/>
        <item m="1" x="26"/>
        <item x="1"/>
        <item x="3"/>
        <item x="9"/>
        <item x="10"/>
        <item m="1" x="27"/>
        <item x="21"/>
        <item x="4"/>
        <item x="5"/>
        <item x="8"/>
        <item x="11"/>
        <item x="2"/>
        <item m="1" x="25"/>
        <item m="1" x="28"/>
        <item x="6"/>
        <item x="14"/>
        <item x="15"/>
        <item x="12"/>
        <item x="16"/>
        <item x="17"/>
        <item m="1" x="24"/>
        <item x="18"/>
        <item x="19"/>
        <item x="20"/>
        <item x="22"/>
        <item x="23"/>
        <item t="default"/>
      </items>
    </pivotField>
    <pivotField dataField="1" showAll="0"/>
    <pivotField showAll="0"/>
    <pivotField showAll="0"/>
    <pivotField showAll="0"/>
    <pivotField showAll="0"/>
    <pivotField axis="axisCol" multipleItemSelectionAllowed="1" showAll="0">
      <items count="7">
        <item x="1"/>
        <item x="0"/>
        <item x="2"/>
        <item m="1" x="5"/>
        <item m="1" x="4"/>
        <item x="3"/>
        <item t="default"/>
      </items>
    </pivotField>
    <pivotField showAll="0"/>
    <pivotField showAll="0" defaultSubtotal="0">
      <items count="15">
        <item x="0"/>
        <item x="1"/>
        <item x="2"/>
        <item x="3"/>
        <item x="4"/>
        <item x="5"/>
        <item x="6"/>
        <item x="7"/>
        <item x="8"/>
        <item x="9"/>
        <item x="10"/>
        <item x="11"/>
        <item x="12"/>
        <item x="13"/>
        <item x="14"/>
      </items>
    </pivotField>
  </pivotFields>
  <rowFields count="1">
    <field x="0"/>
  </rowFields>
  <rowItems count="74">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t="grand">
      <x/>
    </i>
  </rowItems>
  <colFields count="1">
    <field x="8"/>
  </colFields>
  <colItems count="5">
    <i>
      <x/>
    </i>
    <i>
      <x v="1"/>
    </i>
    <i>
      <x v="2"/>
    </i>
    <i>
      <x v="5"/>
    </i>
    <i t="grand">
      <x/>
    </i>
  </colItems>
  <dataFields count="1">
    <dataField name="Count of Set #" fld="3" subtotal="count" baseField="7" baseItem="0"/>
  </dataFields>
  <chartFormats count="6">
    <chartFormat chart="8" format="3" series="1">
      <pivotArea type="data" outline="0" fieldPosition="0">
        <references count="1">
          <reference field="4294967294" count="1" selected="0">
            <x v="0"/>
          </reference>
        </references>
      </pivotArea>
    </chartFormat>
    <chartFormat chart="8" format="5" series="1">
      <pivotArea type="data" outline="0" fieldPosition="0">
        <references count="2">
          <reference field="4294967294" count="1" selected="0">
            <x v="0"/>
          </reference>
          <reference field="8" count="1" selected="0">
            <x v="1"/>
          </reference>
        </references>
      </pivotArea>
    </chartFormat>
    <chartFormat chart="8" format="6" series="1">
      <pivotArea type="data" outline="0" fieldPosition="0">
        <references count="2">
          <reference field="4294967294" count="1" selected="0">
            <x v="0"/>
          </reference>
          <reference field="8" count="1" selected="0">
            <x v="2"/>
          </reference>
        </references>
      </pivotArea>
    </chartFormat>
    <chartFormat chart="8" format="7" series="1">
      <pivotArea type="data" outline="0" fieldPosition="0">
        <references count="2">
          <reference field="4294967294" count="1" selected="0">
            <x v="0"/>
          </reference>
          <reference field="8" count="1" selected="0">
            <x v="0"/>
          </reference>
        </references>
      </pivotArea>
    </chartFormat>
    <chartFormat chart="8" format="8" series="1">
      <pivotArea type="data" outline="0" fieldPosition="0">
        <references count="2">
          <reference field="4294967294" count="1" selected="0">
            <x v="0"/>
          </reference>
          <reference field="8" count="1" selected="0">
            <x v="4"/>
          </reference>
        </references>
      </pivotArea>
    </chartFormat>
    <chartFormat chart="8" format="9" series="1">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8DD154-B645-4706-899E-63533BBA49B6}" name="Vol_exercises"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A3:B28" firstHeaderRow="1" firstDataRow="1" firstDataCol="1"/>
  <pivotFields count="11">
    <pivotField axis="axisRow" numFmtId="165" subtotalTop="0" showAll="0" defaultSubtotal="0">
      <items count="148">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42"/>
        <item m="1" x="147"/>
        <item m="1" x="113"/>
        <item m="1" x="114"/>
        <item m="1" x="115"/>
        <item m="1" x="116"/>
        <item m="1" x="14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3"/>
        <item m="1" x="144"/>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s>
    </pivotField>
    <pivotField numFmtId="14" subtotalTop="0" showAll="0" defaultSubtotal="0"/>
    <pivotField subtotalTop="0" showAll="0" defaultSubtotal="0">
      <items count="29">
        <item h="1" x="7"/>
        <item h="1" x="0"/>
        <item h="1" x="13"/>
        <item h="1" m="1" x="26"/>
        <item h="1" x="1"/>
        <item x="3"/>
        <item h="1" x="9"/>
        <item h="1" x="10"/>
        <item h="1" m="1" x="27"/>
        <item h="1" x="4"/>
        <item h="1" x="5"/>
        <item h="1" x="8"/>
        <item h="1" x="11"/>
        <item h="1" x="2"/>
        <item h="1" m="1" x="25"/>
        <item h="1" m="1" x="28"/>
        <item h="1" x="21"/>
        <item h="1" x="6"/>
        <item h="1" x="14"/>
        <item h="1" x="15"/>
        <item h="1" x="12"/>
        <item h="1" x="16"/>
        <item h="1" x="17"/>
        <item h="1" m="1" x="24"/>
        <item h="1" x="18"/>
        <item h="1" x="19"/>
        <item h="1" x="20"/>
        <item h="1" x="22"/>
        <item h="1" x="23"/>
      </items>
    </pivotField>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items count="6">
        <item x="1"/>
        <item x="0"/>
        <item x="2"/>
        <item m="1" x="5"/>
        <item m="1" x="4"/>
        <item x="3"/>
      </items>
    </pivotField>
    <pivotField subtotalTop="0" showAll="0" defaultSubtotal="0"/>
    <pivotField subtotalTop="0" showAll="0" defaultSubtotal="0">
      <items count="15">
        <item x="2"/>
        <item x="1"/>
        <item x="0"/>
        <item x="3"/>
        <item x="4"/>
        <item x="5"/>
        <item x="6"/>
        <item x="7"/>
        <item x="8"/>
        <item x="9"/>
        <item x="10"/>
        <item x="11"/>
        <item x="12"/>
        <item x="13"/>
        <item x="14"/>
      </items>
    </pivotField>
  </pivotFields>
  <rowFields count="1">
    <field x="0"/>
  </rowFields>
  <rowItems count="25">
    <i>
      <x v="77"/>
    </i>
    <i>
      <x v="79"/>
    </i>
    <i>
      <x v="82"/>
    </i>
    <i>
      <x v="85"/>
    </i>
    <i>
      <x v="88"/>
    </i>
    <i>
      <x v="91"/>
    </i>
    <i>
      <x v="94"/>
    </i>
    <i>
      <x v="97"/>
    </i>
    <i>
      <x v="101"/>
    </i>
    <i>
      <x v="103"/>
    </i>
    <i>
      <x v="105"/>
    </i>
    <i>
      <x v="107"/>
    </i>
    <i>
      <x v="110"/>
    </i>
    <i>
      <x v="113"/>
    </i>
    <i>
      <x v="118"/>
    </i>
    <i>
      <x v="120"/>
    </i>
    <i>
      <x v="122"/>
    </i>
    <i>
      <x v="125"/>
    </i>
    <i>
      <x v="127"/>
    </i>
    <i>
      <x v="130"/>
    </i>
    <i>
      <x v="133"/>
    </i>
    <i>
      <x v="136"/>
    </i>
    <i>
      <x v="139"/>
    </i>
    <i>
      <x v="143"/>
    </i>
    <i>
      <x v="147"/>
    </i>
  </rowItems>
  <colItems count="1">
    <i/>
  </colItems>
  <dataFields count="1">
    <dataField name="Total Volume" fld="6" baseField="7" baseItem="263"/>
  </dataFields>
  <formats count="2">
    <format dxfId="2">
      <pivotArea field="8" type="button" dataOnly="0" labelOnly="1" outline="0"/>
    </format>
    <format dxfId="1">
      <pivotArea dataOnly="0" labelOnly="1" grandRow="1" outline="0" fieldPosition="0"/>
    </format>
  </formats>
  <chartFormats count="3">
    <chartFormat chart="12" format="3"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28A906-EA81-46DB-9948-089F1C3C61A4}" name="Vol_routines"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location ref="D21:H95" firstHeaderRow="1" firstDataRow="2" firstDataCol="1"/>
  <pivotFields count="11">
    <pivotField axis="axisRow" numFmtId="165" showAll="0">
      <items count="149">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42"/>
        <item m="1" x="147"/>
        <item m="1" x="113"/>
        <item m="1" x="114"/>
        <item m="1" x="115"/>
        <item m="1" x="116"/>
        <item m="1" x="14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3"/>
        <item m="1" x="144"/>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numFmtId="14" showAll="0"/>
    <pivotField showAll="0">
      <items count="30">
        <item x="7"/>
        <item x="0"/>
        <item x="13"/>
        <item m="1" x="26"/>
        <item x="1"/>
        <item x="3"/>
        <item x="9"/>
        <item x="10"/>
        <item m="1" x="27"/>
        <item x="4"/>
        <item x="5"/>
        <item x="8"/>
        <item x="11"/>
        <item x="2"/>
        <item m="1" x="25"/>
        <item m="1" x="28"/>
        <item x="21"/>
        <item x="6"/>
        <item x="14"/>
        <item x="15"/>
        <item x="12"/>
        <item x="16"/>
        <item x="17"/>
        <item m="1" x="24"/>
        <item x="18"/>
        <item x="19"/>
        <item x="20"/>
        <item x="22"/>
        <item x="23"/>
        <item t="default"/>
      </items>
    </pivotField>
    <pivotField showAll="0"/>
    <pivotField showAll="0"/>
    <pivotField showAll="0"/>
    <pivotField dataField="1" showAll="0"/>
    <pivotField showAll="0"/>
    <pivotField axis="axisCol" showAll="0">
      <items count="7">
        <item x="1"/>
        <item x="0"/>
        <item x="2"/>
        <item m="1" x="5"/>
        <item m="1" x="4"/>
        <item x="3"/>
        <item t="default"/>
      </items>
    </pivotField>
    <pivotField showAll="0"/>
    <pivotField showAll="0">
      <items count="16">
        <item x="2"/>
        <item x="1"/>
        <item x="0"/>
        <item x="3"/>
        <item x="4"/>
        <item x="5"/>
        <item x="6"/>
        <item x="7"/>
        <item x="8"/>
        <item x="9"/>
        <item x="10"/>
        <item x="11"/>
        <item x="12"/>
        <item x="13"/>
        <item x="14"/>
        <item t="default"/>
      </items>
    </pivotField>
  </pivotFields>
  <rowFields count="1">
    <field x="0"/>
  </rowFields>
  <rowItems count="73">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rowItems>
  <colFields count="1">
    <field x="8"/>
  </colFields>
  <colItems count="4">
    <i>
      <x/>
    </i>
    <i>
      <x v="1"/>
    </i>
    <i>
      <x v="2"/>
    </i>
    <i>
      <x v="5"/>
    </i>
  </colItems>
  <dataFields count="1">
    <dataField name="Sum of Tonnage" fld="6" baseField="0" baseItem="0"/>
  </dataFields>
  <chartFormats count="14">
    <chartFormat chart="6" format="9" series="1">
      <pivotArea type="data" outline="0" fieldPosition="0">
        <references count="2">
          <reference field="4294967294" count="1" selected="0">
            <x v="0"/>
          </reference>
          <reference field="8" count="1" selected="0">
            <x v="0"/>
          </reference>
        </references>
      </pivotArea>
    </chartFormat>
    <chartFormat chart="6" format="10" series="1">
      <pivotArea type="data" outline="0" fieldPosition="0">
        <references count="2">
          <reference field="4294967294" count="1" selected="0">
            <x v="0"/>
          </reference>
          <reference field="8" count="1" selected="0">
            <x v="1"/>
          </reference>
        </references>
      </pivotArea>
    </chartFormat>
    <chartFormat chart="6" format="11" series="1">
      <pivotArea type="data" outline="0" fieldPosition="0">
        <references count="2">
          <reference field="4294967294" count="1" selected="0">
            <x v="0"/>
          </reference>
          <reference field="8" count="1" selected="0">
            <x v="2"/>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0"/>
          </reference>
          <reference field="8" count="1" selected="0">
            <x v="4"/>
          </reference>
        </references>
      </pivotArea>
    </chartFormat>
    <chartFormat chart="6" format="15" series="1">
      <pivotArea type="data" outline="0" fieldPosition="0">
        <references count="2">
          <reference field="4294967294" count="1" selected="0">
            <x v="0"/>
          </reference>
          <reference field="8" count="1" selected="0">
            <x v="5"/>
          </reference>
        </references>
      </pivotArea>
    </chartFormat>
    <chartFormat chart="13" format="21" series="1">
      <pivotArea type="data" outline="0" fieldPosition="0">
        <references count="2">
          <reference field="4294967294" count="1" selected="0">
            <x v="0"/>
          </reference>
          <reference field="8" count="1" selected="0">
            <x v="0"/>
          </reference>
        </references>
      </pivotArea>
    </chartFormat>
    <chartFormat chart="13" format="22" series="1">
      <pivotArea type="data" outline="0" fieldPosition="0">
        <references count="2">
          <reference field="4294967294" count="1" selected="0">
            <x v="0"/>
          </reference>
          <reference field="8" count="1" selected="0">
            <x v="1"/>
          </reference>
        </references>
      </pivotArea>
    </chartFormat>
    <chartFormat chart="13" format="23" series="1">
      <pivotArea type="data" outline="0" fieldPosition="0">
        <references count="2">
          <reference field="4294967294" count="1" selected="0">
            <x v="0"/>
          </reference>
          <reference field="8" count="1" selected="0">
            <x v="2"/>
          </reference>
        </references>
      </pivotArea>
    </chartFormat>
    <chartFormat chart="13" format="24" series="1">
      <pivotArea type="data" outline="0" fieldPosition="0">
        <references count="2">
          <reference field="4294967294" count="1" selected="0">
            <x v="0"/>
          </reference>
          <reference field="8" count="1" selected="0">
            <x v="5"/>
          </reference>
        </references>
      </pivotArea>
    </chartFormat>
    <chartFormat chart="6" format="16">
      <pivotArea type="data" outline="0" fieldPosition="0">
        <references count="3">
          <reference field="4294967294" count="1" selected="0">
            <x v="0"/>
          </reference>
          <reference field="0" count="1" selected="0">
            <x v="72"/>
          </reference>
          <reference field="8" count="1" selected="0">
            <x v="5"/>
          </reference>
        </references>
      </pivotArea>
    </chartFormat>
    <chartFormat chart="13" format="26">
      <pivotArea type="data" outline="0" fieldPosition="0">
        <references count="3">
          <reference field="4294967294" count="1" selected="0">
            <x v="0"/>
          </reference>
          <reference field="0" count="1" selected="0">
            <x v="72"/>
          </reference>
          <reference field="8" count="1" selected="0">
            <x v="5"/>
          </reference>
        </references>
      </pivotArea>
    </chartFormat>
    <chartFormat chart="13" format="27">
      <pivotArea type="data" outline="0" fieldPosition="0">
        <references count="3">
          <reference field="4294967294" count="1" selected="0">
            <x v="0"/>
          </reference>
          <reference field="0" count="1" selected="0">
            <x v="145"/>
          </reference>
          <reference field="8" count="1" selected="0">
            <x v="5"/>
          </reference>
        </references>
      </pivotArea>
    </chartFormat>
    <chartFormat chart="6" format="17">
      <pivotArea type="data" outline="0" fieldPosition="0">
        <references count="3">
          <reference field="4294967294" count="1" selected="0">
            <x v="0"/>
          </reference>
          <reference field="0" count="1" selected="0">
            <x v="145"/>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7C0DAA-CFA0-4566-886F-F7614030D6DD}" name="PivotTable1"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A3:C21" firstHeaderRow="0" firstDataRow="1" firstDataCol="1" rowPageCount="1" colPageCount="1"/>
  <pivotFields count="11">
    <pivotField axis="axisRow" numFmtId="165" showAll="0">
      <items count="149">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47"/>
        <item m="1" x="113"/>
        <item m="1" x="114"/>
        <item m="1" x="115"/>
        <item m="1" x="116"/>
        <item m="1" x="146"/>
        <item m="1" x="142"/>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3"/>
        <item m="1" x="144"/>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numFmtId="14" showAll="0"/>
    <pivotField multipleItemSelectionAllowed="1" showAll="0">
      <items count="30">
        <item h="1" x="7"/>
        <item x="0"/>
        <item h="1" x="13"/>
        <item h="1" m="1" x="26"/>
        <item h="1" x="1"/>
        <item h="1" x="3"/>
        <item h="1" x="9"/>
        <item h="1" x="10"/>
        <item h="1" m="1" x="27"/>
        <item h="1" x="21"/>
        <item h="1" x="4"/>
        <item h="1" x="5"/>
        <item h="1" x="8"/>
        <item h="1" x="11"/>
        <item h="1" x="2"/>
        <item h="1" m="1" x="25"/>
        <item h="1" m="1" x="28"/>
        <item h="1" x="6"/>
        <item h="1" x="14"/>
        <item h="1" x="15"/>
        <item h="1" x="12"/>
        <item h="1" x="16"/>
        <item h="1" x="17"/>
        <item h="1" m="1" x="24"/>
        <item h="1" x="18"/>
        <item h="1" x="19"/>
        <item h="1" x="20"/>
        <item h="1" x="22"/>
        <item h="1" x="23"/>
        <item t="default"/>
      </items>
    </pivotField>
    <pivotField dataField="1" showAll="0"/>
    <pivotField showAll="0"/>
    <pivotField showAll="0"/>
    <pivotField showAll="0"/>
    <pivotField dataField="1" showAll="0"/>
    <pivotField showAll="0"/>
    <pivotField axis="axisPage" showAll="0">
      <items count="4">
        <item x="1"/>
        <item x="0"/>
        <item m="1" x="2"/>
        <item t="default"/>
      </items>
    </pivotField>
    <pivotField showAll="0" defaultSubtotal="0">
      <items count="15">
        <item x="0"/>
        <item x="2"/>
        <item x="1"/>
        <item x="3"/>
        <item x="4"/>
        <item x="5"/>
        <item x="6"/>
        <item x="7"/>
        <item x="8"/>
        <item x="9"/>
        <item x="10"/>
        <item x="11"/>
        <item x="12"/>
        <item x="13"/>
        <item x="14"/>
      </items>
    </pivotField>
  </pivotFields>
  <rowFields count="1">
    <field x="0"/>
  </rowFields>
  <rowItems count="18">
    <i>
      <x v="75"/>
    </i>
    <i>
      <x v="80"/>
    </i>
    <i>
      <x v="83"/>
    </i>
    <i>
      <x v="86"/>
    </i>
    <i>
      <x v="89"/>
    </i>
    <i>
      <x v="92"/>
    </i>
    <i>
      <x v="95"/>
    </i>
    <i>
      <x v="98"/>
    </i>
    <i>
      <x v="104"/>
    </i>
    <i>
      <x v="115"/>
    </i>
    <i>
      <x v="121"/>
    </i>
    <i>
      <x v="124"/>
    </i>
    <i>
      <x v="128"/>
    </i>
    <i>
      <x v="131"/>
    </i>
    <i>
      <x v="134"/>
    </i>
    <i>
      <x v="137"/>
    </i>
    <i>
      <x v="140"/>
    </i>
    <i>
      <x v="144"/>
    </i>
  </rowItems>
  <colFields count="1">
    <field x="-2"/>
  </colFields>
  <colItems count="2">
    <i>
      <x/>
    </i>
    <i i="1">
      <x v="1"/>
    </i>
  </colItems>
  <pageFields count="1">
    <pageField fld="9" item="1" hier="-1"/>
  </pageFields>
  <dataFields count="2">
    <dataField name="One Rep Max" fld="7" subtotal="max" baseField="0" baseItem="50"/>
    <dataField name="# of Sets" fld="3" subtotal="count" baseField="0" baseItem="50"/>
  </dataFields>
  <chartFormats count="4">
    <chartFormat chart="0" format="1"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CC1553-6963-4086-ADF3-D2220CBF0E39}" name="PivotTable3" cacheId="6"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1">
  <location ref="H47:J71" firstHeaderRow="0" firstDataRow="1" firstDataCol="1"/>
  <pivotFields count="11">
    <pivotField numFmtId="164" showAll="0"/>
    <pivotField numFmtId="14" showAll="0"/>
    <pivotField axis="axisRow" showAll="0">
      <items count="30">
        <item x="22"/>
        <item x="7"/>
        <item x="16"/>
        <item x="0"/>
        <item x="17"/>
        <item x="23"/>
        <item x="13"/>
        <item m="1" x="26"/>
        <item x="1"/>
        <item x="3"/>
        <item x="9"/>
        <item m="1" x="24"/>
        <item x="10"/>
        <item m="1" x="27"/>
        <item x="21"/>
        <item x="4"/>
        <item x="5"/>
        <item x="8"/>
        <item x="11"/>
        <item x="2"/>
        <item x="6"/>
        <item x="15"/>
        <item x="20"/>
        <item m="1" x="25"/>
        <item x="19"/>
        <item x="14"/>
        <item x="18"/>
        <item x="12"/>
        <item m="1" x="28"/>
        <item t="default"/>
      </items>
    </pivotField>
    <pivotField showAll="0"/>
    <pivotField showAll="0"/>
    <pivotField showAll="0"/>
    <pivotField showAll="0"/>
    <pivotField dataField="1" showAll="0"/>
    <pivotField showAll="0"/>
    <pivotField showAll="0"/>
    <pivotField showAll="0" defaultSubtotal="0">
      <items count="15">
        <item x="0"/>
        <item x="1"/>
        <item x="2"/>
        <item x="3"/>
        <item x="4"/>
        <item x="5"/>
        <item x="6"/>
        <item x="7"/>
        <item x="8"/>
        <item x="9"/>
        <item x="10"/>
        <item x="11"/>
        <item x="12"/>
        <item x="13"/>
        <item x="14"/>
      </items>
    </pivotField>
  </pivotFields>
  <rowFields count="1">
    <field x="2"/>
  </rowFields>
  <rowItems count="24">
    <i>
      <x/>
    </i>
    <i>
      <x v="1"/>
    </i>
    <i>
      <x v="2"/>
    </i>
    <i>
      <x v="3"/>
    </i>
    <i>
      <x v="4"/>
    </i>
    <i>
      <x v="5"/>
    </i>
    <i>
      <x v="6"/>
    </i>
    <i>
      <x v="8"/>
    </i>
    <i>
      <x v="9"/>
    </i>
    <i>
      <x v="10"/>
    </i>
    <i>
      <x v="12"/>
    </i>
    <i>
      <x v="14"/>
    </i>
    <i>
      <x v="15"/>
    </i>
    <i>
      <x v="16"/>
    </i>
    <i>
      <x v="17"/>
    </i>
    <i>
      <x v="18"/>
    </i>
    <i>
      <x v="19"/>
    </i>
    <i>
      <x v="20"/>
    </i>
    <i>
      <x v="21"/>
    </i>
    <i>
      <x v="22"/>
    </i>
    <i>
      <x v="24"/>
    </i>
    <i>
      <x v="25"/>
    </i>
    <i>
      <x v="26"/>
    </i>
    <i>
      <x v="27"/>
    </i>
  </rowItems>
  <colFields count="1">
    <field x="-2"/>
  </colFields>
  <colItems count="2">
    <i>
      <x/>
    </i>
    <i i="1">
      <x v="1"/>
    </i>
  </colItems>
  <dataFields count="2">
    <dataField name="Max of 1 Rep Max" fld="7" subtotal="max" baseField="0" baseItem="0"/>
    <dataField name="Min of 1 Rep Max" fld="7" subtotal="min" baseField="2"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D514721-5D48-4EBC-BDDE-53275BBA4C7D}"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location ref="D27:F46" firstHeaderRow="0" firstDataRow="1" firstDataCol="1" rowPageCount="1" colPageCount="1"/>
  <pivotFields count="11">
    <pivotField axis="axisRow" numFmtId="164" showAll="0">
      <items count="149">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47"/>
        <item m="1" x="113"/>
        <item m="1" x="114"/>
        <item m="1" x="115"/>
        <item m="1" x="116"/>
        <item m="1" x="146"/>
        <item m="1" x="117"/>
        <item m="1" x="118"/>
        <item m="1" x="119"/>
        <item m="1" x="120"/>
        <item m="1" x="121"/>
        <item m="1" x="122"/>
        <item m="1" x="123"/>
        <item m="1" x="124"/>
        <item m="1" x="125"/>
        <item m="1" x="126"/>
        <item m="1" x="142"/>
        <item m="1" x="127"/>
        <item m="1" x="128"/>
        <item m="1" x="129"/>
        <item m="1" x="130"/>
        <item m="1" x="131"/>
        <item m="1" x="132"/>
        <item m="1" x="133"/>
        <item m="1" x="134"/>
        <item m="1" x="135"/>
        <item m="1" x="136"/>
        <item m="1" x="137"/>
        <item m="1" x="138"/>
        <item m="1" x="139"/>
        <item m="1" x="140"/>
        <item m="1" x="141"/>
        <item m="1" x="143"/>
        <item m="1" x="144"/>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numFmtId="14" showAll="0"/>
    <pivotField showAll="0">
      <items count="30">
        <item h="1" x="7"/>
        <item x="0"/>
        <item h="1" x="13"/>
        <item h="1" m="1" x="26"/>
        <item h="1" x="1"/>
        <item h="1" x="3"/>
        <item h="1" x="9"/>
        <item h="1" x="10"/>
        <item h="1" m="1" x="27"/>
        <item h="1" x="21"/>
        <item h="1" x="4"/>
        <item h="1" x="5"/>
        <item h="1" x="8"/>
        <item h="1" x="11"/>
        <item h="1" x="2"/>
        <item h="1" x="6"/>
        <item h="1" x="15"/>
        <item h="1" m="1" x="25"/>
        <item h="1" x="14"/>
        <item h="1" x="12"/>
        <item h="1" m="1" x="28"/>
        <item h="1" x="16"/>
        <item h="1" x="17"/>
        <item h="1" m="1" x="24"/>
        <item h="1" x="18"/>
        <item h="1" x="19"/>
        <item h="1" x="20"/>
        <item h="1" x="22"/>
        <item h="1" x="23"/>
        <item t="default"/>
      </items>
    </pivotField>
    <pivotField showAll="0"/>
    <pivotField showAll="0"/>
    <pivotField dataField="1" showAll="0"/>
    <pivotField showAll="0"/>
    <pivotField dataField="1" showAll="0"/>
    <pivotField showAll="0"/>
    <pivotField axis="axisPage" showAll="0">
      <items count="4">
        <item x="1"/>
        <item m="1" x="2"/>
        <item x="0"/>
        <item t="default"/>
      </items>
    </pivotField>
    <pivotField showAll="0" defaultSubtotal="0">
      <items count="15">
        <item x="0"/>
        <item x="1"/>
        <item x="2"/>
        <item x="3"/>
        <item x="4"/>
        <item x="5"/>
        <item x="6"/>
        <item x="7"/>
        <item x="8"/>
        <item x="9"/>
        <item x="10"/>
        <item x="11"/>
        <item x="12"/>
        <item x="13"/>
        <item x="14"/>
      </items>
    </pivotField>
  </pivotFields>
  <rowFields count="1">
    <field x="0"/>
  </rowFields>
  <rowItems count="19">
    <i>
      <x v="75"/>
    </i>
    <i>
      <x v="80"/>
    </i>
    <i>
      <x v="83"/>
    </i>
    <i>
      <x v="86"/>
    </i>
    <i>
      <x v="89"/>
    </i>
    <i>
      <x v="92"/>
    </i>
    <i>
      <x v="95"/>
    </i>
    <i>
      <x v="98"/>
    </i>
    <i>
      <x v="104"/>
    </i>
    <i>
      <x v="115"/>
    </i>
    <i>
      <x v="121"/>
    </i>
    <i>
      <x v="124"/>
    </i>
    <i>
      <x v="128"/>
    </i>
    <i>
      <x v="131"/>
    </i>
    <i>
      <x v="134"/>
    </i>
    <i>
      <x v="137"/>
    </i>
    <i>
      <x v="140"/>
    </i>
    <i>
      <x v="144"/>
    </i>
    <i t="grand">
      <x/>
    </i>
  </rowItems>
  <colFields count="1">
    <field x="-2"/>
  </colFields>
  <colItems count="2">
    <i>
      <x/>
    </i>
    <i i="1">
      <x v="1"/>
    </i>
  </colItems>
  <pageFields count="1">
    <pageField fld="9" item="2" hier="-1"/>
  </pageFields>
  <dataFields count="2">
    <dataField name="One Rep Max" fld="7" subtotal="max" baseField="0" baseItem="96"/>
    <dataField name="Average of Reps" fld="5" subtotal="average" baseField="10" baseItem="9"/>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F645F95-9F5B-4A29-B101-96F9DBE7A19A}" name="PivotTable1" cacheId="6"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L1:L2" firstHeaderRow="1" firstDataRow="2" firstDataCol="0"/>
  <pivotFields count="11">
    <pivotField numFmtId="164" showAll="0"/>
    <pivotField numFmtId="14" showAll="0"/>
    <pivotField axis="axisCol" showAll="0">
      <items count="30">
        <item h="1" x="7"/>
        <item h="1" x="0"/>
        <item h="1" x="13"/>
        <item h="1" m="1" x="26"/>
        <item h="1" x="1"/>
        <item x="3"/>
        <item h="1" x="9"/>
        <item h="1" x="10"/>
        <item h="1" m="1" x="27"/>
        <item h="1" x="21"/>
        <item h="1" x="4"/>
        <item h="1" x="5"/>
        <item h="1" x="8"/>
        <item h="1" x="11"/>
        <item h="1" x="2"/>
        <item h="1" x="6"/>
        <item h="1" x="15"/>
        <item h="1" m="1" x="25"/>
        <item h="1" x="14"/>
        <item h="1" x="12"/>
        <item h="1" m="1" x="28"/>
        <item h="1" x="16"/>
        <item h="1" x="17"/>
        <item h="1" m="1" x="24"/>
        <item h="1" x="18"/>
        <item h="1" x="19"/>
        <item h="1" x="20"/>
        <item h="1" x="22"/>
        <item h="1" x="23"/>
        <item t="default"/>
      </items>
    </pivotField>
    <pivotField showAll="0"/>
    <pivotField showAll="0"/>
    <pivotField showAll="0"/>
    <pivotField showAll="0"/>
    <pivotField showAll="0"/>
    <pivotField showAll="0"/>
    <pivotField showAll="0"/>
    <pivotField showAll="0" defaultSubtotal="0">
      <items count="15">
        <item x="0"/>
        <item x="1"/>
        <item x="2"/>
        <item x="3"/>
        <item x="4"/>
        <item x="5"/>
        <item x="6"/>
        <item x="7"/>
        <item x="8"/>
        <item x="9"/>
        <item x="10"/>
        <item x="11"/>
        <item x="12"/>
        <item x="13"/>
        <item x="14"/>
      </items>
    </pivotField>
  </pivotFields>
  <rowItems count="1">
    <i/>
  </rowItems>
  <colFields count="1">
    <field x="2"/>
  </colFields>
  <colItems count="1">
    <i>
      <x v="5"/>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78F4069-99B4-4095-B4E2-D3DCC66E3B82}" name="PivotTable7" cacheId="6"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H3:H4" firstHeaderRow="1" firstDataRow="2" firstDataCol="0" rowPageCount="1" colPageCount="1"/>
  <pivotFields count="11">
    <pivotField numFmtId="164" showAll="0"/>
    <pivotField numFmtId="14" showAll="0"/>
    <pivotField axis="axisCol" showAll="0">
      <items count="30">
        <item h="1" x="7"/>
        <item x="0"/>
        <item h="1" x="13"/>
        <item h="1" m="1" x="26"/>
        <item h="1" x="1"/>
        <item h="1" x="3"/>
        <item h="1" x="9"/>
        <item h="1" x="10"/>
        <item h="1" m="1" x="27"/>
        <item h="1" x="21"/>
        <item h="1" x="4"/>
        <item h="1" x="5"/>
        <item h="1" x="8"/>
        <item h="1" x="11"/>
        <item h="1" x="2"/>
        <item h="1" m="1" x="25"/>
        <item h="1" m="1" x="28"/>
        <item h="1" x="6"/>
        <item h="1" x="14"/>
        <item h="1" x="15"/>
        <item h="1" x="12"/>
        <item h="1" x="16"/>
        <item h="1" x="17"/>
        <item h="1" m="1" x="24"/>
        <item h="1" x="18"/>
        <item h="1" x="19"/>
        <item h="1" x="20"/>
        <item h="1" x="22"/>
        <item h="1" x="23"/>
        <item t="default"/>
      </items>
    </pivotField>
    <pivotField showAll="0"/>
    <pivotField showAll="0"/>
    <pivotField showAll="0"/>
    <pivotField showAll="0"/>
    <pivotField showAll="0"/>
    <pivotField showAll="0"/>
    <pivotField axis="axisPage" showAll="0">
      <items count="4">
        <item x="1"/>
        <item m="1" x="2"/>
        <item x="0"/>
        <item t="default"/>
      </items>
    </pivotField>
    <pivotField showAll="0" defaultSubtotal="0">
      <items count="15">
        <item x="0"/>
        <item x="1"/>
        <item x="2"/>
        <item x="3"/>
        <item x="4"/>
        <item x="5"/>
        <item x="6"/>
        <item x="7"/>
        <item x="8"/>
        <item x="9"/>
        <item x="10"/>
        <item x="11"/>
        <item x="12"/>
        <item x="13"/>
        <item x="14"/>
      </items>
    </pivotField>
  </pivotFields>
  <rowItems count="1">
    <i/>
  </rowItems>
  <colFields count="1">
    <field x="2"/>
  </colFields>
  <colItems count="1">
    <i>
      <x v="1"/>
    </i>
  </colItems>
  <pageFields count="1">
    <pageField fld="9" item="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06A43C58-41CE-4032-B2A6-C41AA33BD4BE}" autoFormatId="16" applyNumberFormats="0" applyBorderFormats="0" applyFontFormats="0" applyPatternFormats="0" applyAlignmentFormats="0" applyWidthHeightFormats="0">
  <queryTableRefresh nextId="13">
    <queryTableFields count="10">
      <queryTableField id="1" name="Date" tableColumnId="1"/>
      <queryTableField id="11" name="DateID" tableColumnId="10"/>
      <queryTableField id="2" name="Exercise" tableColumnId="2"/>
      <queryTableField id="3" name="Set #" tableColumnId="3"/>
      <queryTableField id="4" name="Weight" tableColumnId="4"/>
      <queryTableField id="5" name="Reps" tableColumnId="5"/>
      <queryTableField id="6" name="Tonnage" tableColumnId="6"/>
      <queryTableField id="8" name="1 Rep Max" tableColumnId="8"/>
      <queryTableField id="7" name="Routine" tableColumnId="7"/>
      <queryTableField id="10" name="Core vs Accessory" tableColumnId="9"/>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4</v>
  </rv>
  <rv s="0">
    <v>0</v>
    <v>5</v>
  </rv>
  <rv s="0">
    <v>1</v>
    <v>5</v>
  </rv>
  <rv s="0">
    <v>2</v>
    <v>5</v>
  </rv>
  <rv s="0">
    <v>3</v>
    <v>5</v>
  </rv>
  <rv s="0">
    <v>4</v>
    <v>5</v>
  </rv>
  <rv s="0">
    <v>5</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ine1" xr10:uid="{7FC822EF-4F6C-421B-A444-789CCA5B4CC4}" sourceName="Routine">
  <pivotTables>
    <pivotTable tabId="4" name="Vol_routines"/>
    <pivotTable tabId="4" name="sets_routines"/>
  </pivotTables>
  <data>
    <tabular pivotCacheId="668668535" showMissing="0">
      <items count="6">
        <i x="3" s="1"/>
        <i x="1" s="1"/>
        <i x="0" s="1"/>
        <i x="2" s="1"/>
        <i x="4"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ercise3" xr10:uid="{2CA5EA73-A03A-46AA-8357-3BE839C67B42}" sourceName="Exercise">
  <pivotTables>
    <pivotTable tabId="8" name="PivotTable1"/>
    <pivotTable tabId="5" name="PivotTable7"/>
    <pivotTable tabId="8" name="PivotTable2"/>
    <pivotTable tabId="4" name="reps_vol"/>
  </pivotTables>
  <data>
    <tabular pivotCacheId="668668535">
      <items count="29">
        <i x="0" s="1"/>
        <i x="3"/>
        <i x="9"/>
        <i x="5"/>
        <i x="11"/>
        <i x="2"/>
        <i x="22" nd="1"/>
        <i x="7" nd="1"/>
        <i x="16" nd="1"/>
        <i x="17" nd="1"/>
        <i x="23" nd="1"/>
        <i x="13" nd="1"/>
        <i x="26" nd="1"/>
        <i x="1" nd="1"/>
        <i x="24" nd="1"/>
        <i x="10" nd="1"/>
        <i x="27" nd="1"/>
        <i x="21" nd="1"/>
        <i x="4" nd="1"/>
        <i x="8" nd="1"/>
        <i x="6" nd="1"/>
        <i x="15" nd="1"/>
        <i x="20" nd="1"/>
        <i x="25" nd="1"/>
        <i x="19" nd="1"/>
        <i x="14" nd="1"/>
        <i x="18" nd="1"/>
        <i x="12" nd="1"/>
        <i x="28"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ercise1" xr10:uid="{99A551A7-7ABC-4D68-8DB3-C26B82B2C89D}" sourceName="Exercise">
  <pivotTables>
    <pivotTable tabId="5" name="PivotTable1"/>
    <pivotTable tabId="4" name="Vol_exercises"/>
  </pivotTables>
  <data>
    <tabular pivotCacheId="668668535">
      <items count="29">
        <i x="22"/>
        <i x="7"/>
        <i x="16"/>
        <i x="0"/>
        <i x="17"/>
        <i x="23"/>
        <i x="13"/>
        <i x="1"/>
        <i x="3" s="1"/>
        <i x="9"/>
        <i x="10"/>
        <i x="21"/>
        <i x="4"/>
        <i x="5"/>
        <i x="8"/>
        <i x="11"/>
        <i x="2"/>
        <i x="6"/>
        <i x="15"/>
        <i x="20"/>
        <i x="19"/>
        <i x="14"/>
        <i x="18"/>
        <i x="12"/>
        <i x="26" nd="1"/>
        <i x="24" nd="1"/>
        <i x="27" nd="1"/>
        <i x="25" nd="1"/>
        <i x="28"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ine" xr10:uid="{B82742FF-6651-41CA-A8A6-7F58AB054795}" cache="Slicer_Routine1" caption="Routine" rowHeight="241300"/>
  <slicer name="Exercise 7" xr10:uid="{B7C9D598-BF0B-4B04-B4DC-73BD3D62F608}" cache="Slicer_Exercise3" caption="Core Exercises" style="SlicerStyleOther1" rowHeight="241300"/>
  <slicer name="Exercise 2" xr10:uid="{A660B377-EC80-4A5E-88C3-DFE0A3DD784C}" cache="Slicer_Exercise1" caption="Exercis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ercise 4" xr10:uid="{0D3BCA36-1840-44B7-A4FF-821F8975E67C}" cache="Slicer_Exercise3" caption="Core Exercises" style="SlicerStyleLight3" rowHeight="241300"/>
  <slicer name="Exercise" xr10:uid="{3740D75D-280D-41EA-8F93-E597A9531B75}" cache="Slicer_Exercise3" caption="Exercis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ercise 6" xr10:uid="{47165203-49CE-422B-AC03-56E64E352A71}" cache="Slicer_Exercise3" caption="Core Exercises" style="SlicerStyleOther1" rowHeight="241300"/>
  <slicer name="Exercise 3" xr10:uid="{3AAA76A0-DC15-4CA9-88A6-C2F0CBF3B594}" cache="Slicer_Exercise1" caption="Exercise" style="SlicerStyleOther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ercise 8" xr10:uid="{59AE873B-880F-4F0A-A86F-124329814015}" cache="Slicer_Exercise3" caption="Core Exercises" style="SlicerStyleLight3" rowHeight="241300"/>
  <slicer name="Exercise 1" xr10:uid="{6A392AFD-2360-4FDA-A7E7-B56DEECD8F10}" cache="Slicer_Exercise1" caption="Exercis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8D5691-7C95-4F80-A080-ED618AB42E01}" name="get_data" displayName="get_data" ref="A1:J956" tableType="queryTable" totalsRowShown="0">
  <autoFilter ref="A1:J956" xr:uid="{9A8D5691-7C95-4F80-A080-ED618AB42E01}"/>
  <tableColumns count="10">
    <tableColumn id="1" xr3:uid="{266990BC-D916-4ADE-BDAD-E390C68E0D25}" uniqueName="1" name="Date" queryTableFieldId="1" dataDxfId="5"/>
    <tableColumn id="10" xr3:uid="{C47BECE9-3E34-4532-A4B6-A2AA4B0CBBAD}" uniqueName="10" name="DateID" queryTableFieldId="11" dataDxfId="0"/>
    <tableColumn id="2" xr3:uid="{1FAB4582-CD93-4E06-8134-4C77D0930E0D}" uniqueName="2" name="Exercise" queryTableFieldId="2" dataDxfId="4"/>
    <tableColumn id="3" xr3:uid="{02304305-6950-4D38-BBC7-DCDAB32687D0}" uniqueName="3" name="Set #" queryTableFieldId="3"/>
    <tableColumn id="4" xr3:uid="{F93AAF97-674A-4C63-AA0E-F41A4349AD2D}" uniqueName="4" name="Weight" queryTableFieldId="4"/>
    <tableColumn id="5" xr3:uid="{B51A5583-DE7C-42D4-8F5A-97BECA9D2218}" uniqueName="5" name="Reps" queryTableFieldId="5"/>
    <tableColumn id="6" xr3:uid="{7A63292B-C970-4F01-9D85-649347CC1B0D}" uniqueName="6" name="Tonnage" queryTableFieldId="6"/>
    <tableColumn id="8" xr3:uid="{C8B998AE-CB76-4B96-914D-399E40139DD6}" uniqueName="8" name="1 Rep Max" queryTableFieldId="8"/>
    <tableColumn id="7" xr3:uid="{E3C38DCF-CC63-4414-9AB4-14A85F018FC0}" uniqueName="7" name="Routine" queryTableFieldId="7" dataDxfId="3"/>
    <tableColumn id="9" xr3:uid="{6CAB5BE3-000E-42AB-BE7E-A96481D7AF58}" uniqueName="9" name="Core vs Accessory" queryTableField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microsoft.com/office/2007/relationships/slicer" Target="../slicers/slicer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strengthlevel.com/strength-standard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2C479-41D1-4A54-AD53-86128A54ADDC}">
  <sheetPr codeName="Sheet1"/>
  <dimension ref="A1:J956"/>
  <sheetViews>
    <sheetView workbookViewId="0">
      <selection activeCell="E665" sqref="E665"/>
    </sheetView>
  </sheetViews>
  <sheetFormatPr defaultRowHeight="15" x14ac:dyDescent="0.25"/>
  <cols>
    <col min="1" max="1" width="10.7109375" style="3" bestFit="1" customWidth="1"/>
    <col min="2" max="2" width="10.7109375" bestFit="1" customWidth="1"/>
    <col min="3" max="3" width="21.85546875" bestFit="1" customWidth="1"/>
    <col min="4" max="4" width="7.5703125" bestFit="1" customWidth="1"/>
    <col min="5" max="5" width="9.85546875" bestFit="1" customWidth="1"/>
    <col min="6" max="6" width="7.5703125" bestFit="1" customWidth="1"/>
    <col min="7" max="7" width="10.85546875" bestFit="1" customWidth="1"/>
    <col min="8" max="8" width="12.42578125" bestFit="1" customWidth="1"/>
    <col min="9" max="9" width="10.28515625" bestFit="1" customWidth="1"/>
    <col min="10" max="10" width="19" customWidth="1"/>
  </cols>
  <sheetData>
    <row r="1" spans="1:10" x14ac:dyDescent="0.25">
      <c r="A1" s="3" t="s">
        <v>0</v>
      </c>
      <c r="B1" t="s">
        <v>160</v>
      </c>
      <c r="C1" t="s">
        <v>1</v>
      </c>
      <c r="D1" t="s">
        <v>2</v>
      </c>
      <c r="E1" t="s">
        <v>3</v>
      </c>
      <c r="F1" t="s">
        <v>4</v>
      </c>
      <c r="G1" t="s">
        <v>5</v>
      </c>
      <c r="H1" t="s">
        <v>24</v>
      </c>
      <c r="I1" t="s">
        <v>6</v>
      </c>
      <c r="J1" t="s">
        <v>36</v>
      </c>
    </row>
    <row r="2" spans="1:10" x14ac:dyDescent="0.25">
      <c r="A2" t="s">
        <v>87</v>
      </c>
      <c r="B2" s="1">
        <v>45182</v>
      </c>
      <c r="C2" t="s">
        <v>9</v>
      </c>
      <c r="D2">
        <v>1</v>
      </c>
      <c r="E2">
        <v>45</v>
      </c>
      <c r="F2">
        <v>10</v>
      </c>
      <c r="G2">
        <v>450</v>
      </c>
      <c r="H2">
        <v>60</v>
      </c>
      <c r="I2" t="s">
        <v>21</v>
      </c>
      <c r="J2" t="s">
        <v>37</v>
      </c>
    </row>
    <row r="3" spans="1:10" x14ac:dyDescent="0.25">
      <c r="A3" t="s">
        <v>87</v>
      </c>
      <c r="B3" s="1">
        <v>45182</v>
      </c>
      <c r="C3" t="s">
        <v>9</v>
      </c>
      <c r="D3">
        <v>2</v>
      </c>
      <c r="E3">
        <v>55</v>
      </c>
      <c r="F3">
        <v>10</v>
      </c>
      <c r="G3">
        <v>550</v>
      </c>
      <c r="H3">
        <v>73.33</v>
      </c>
      <c r="I3" t="s">
        <v>21</v>
      </c>
      <c r="J3" t="s">
        <v>37</v>
      </c>
    </row>
    <row r="4" spans="1:10" x14ac:dyDescent="0.25">
      <c r="A4" t="s">
        <v>87</v>
      </c>
      <c r="B4" s="1">
        <v>45182</v>
      </c>
      <c r="C4" t="s">
        <v>9</v>
      </c>
      <c r="D4">
        <v>3</v>
      </c>
      <c r="E4">
        <v>45</v>
      </c>
      <c r="F4">
        <v>10</v>
      </c>
      <c r="G4">
        <v>450</v>
      </c>
      <c r="H4">
        <v>60</v>
      </c>
      <c r="I4" t="s">
        <v>21</v>
      </c>
      <c r="J4" t="s">
        <v>37</v>
      </c>
    </row>
    <row r="5" spans="1:10" x14ac:dyDescent="0.25">
      <c r="A5" t="s">
        <v>87</v>
      </c>
      <c r="B5" s="1">
        <v>45182</v>
      </c>
      <c r="C5" t="s">
        <v>10</v>
      </c>
      <c r="D5">
        <v>1</v>
      </c>
      <c r="E5">
        <v>45</v>
      </c>
      <c r="F5">
        <v>15</v>
      </c>
      <c r="G5">
        <v>675</v>
      </c>
      <c r="H5">
        <v>67.5</v>
      </c>
      <c r="I5" t="s">
        <v>21</v>
      </c>
      <c r="J5" t="s">
        <v>38</v>
      </c>
    </row>
    <row r="6" spans="1:10" x14ac:dyDescent="0.25">
      <c r="A6" t="s">
        <v>87</v>
      </c>
      <c r="B6" s="1">
        <v>45182</v>
      </c>
      <c r="C6" t="s">
        <v>10</v>
      </c>
      <c r="D6">
        <v>2</v>
      </c>
      <c r="E6">
        <v>50</v>
      </c>
      <c r="F6">
        <v>13</v>
      </c>
      <c r="G6">
        <v>650</v>
      </c>
      <c r="H6">
        <v>71.67</v>
      </c>
      <c r="I6" t="s">
        <v>21</v>
      </c>
      <c r="J6" t="s">
        <v>38</v>
      </c>
    </row>
    <row r="7" spans="1:10" x14ac:dyDescent="0.25">
      <c r="A7" t="s">
        <v>87</v>
      </c>
      <c r="B7" s="1">
        <v>45182</v>
      </c>
      <c r="C7" t="s">
        <v>10</v>
      </c>
      <c r="D7">
        <v>3</v>
      </c>
      <c r="E7">
        <v>45</v>
      </c>
      <c r="F7">
        <v>14</v>
      </c>
      <c r="G7">
        <v>630</v>
      </c>
      <c r="H7">
        <v>66</v>
      </c>
      <c r="I7" t="s">
        <v>21</v>
      </c>
      <c r="J7" t="s">
        <v>38</v>
      </c>
    </row>
    <row r="8" spans="1:10" x14ac:dyDescent="0.25">
      <c r="A8" t="s">
        <v>88</v>
      </c>
      <c r="B8" s="1">
        <v>45183</v>
      </c>
      <c r="C8" t="s">
        <v>11</v>
      </c>
      <c r="D8">
        <v>1</v>
      </c>
      <c r="E8">
        <v>105</v>
      </c>
      <c r="F8">
        <v>10</v>
      </c>
      <c r="G8">
        <v>1050</v>
      </c>
      <c r="H8">
        <v>140</v>
      </c>
      <c r="I8" t="s">
        <v>22</v>
      </c>
      <c r="J8" t="s">
        <v>37</v>
      </c>
    </row>
    <row r="9" spans="1:10" x14ac:dyDescent="0.25">
      <c r="A9" t="s">
        <v>88</v>
      </c>
      <c r="B9" s="1">
        <v>45183</v>
      </c>
      <c r="C9" t="s">
        <v>11</v>
      </c>
      <c r="D9">
        <v>2</v>
      </c>
      <c r="E9">
        <v>105</v>
      </c>
      <c r="F9">
        <v>11</v>
      </c>
      <c r="G9">
        <v>1155</v>
      </c>
      <c r="H9">
        <v>143.5</v>
      </c>
      <c r="I9" t="s">
        <v>22</v>
      </c>
      <c r="J9" t="s">
        <v>37</v>
      </c>
    </row>
    <row r="10" spans="1:10" x14ac:dyDescent="0.25">
      <c r="A10" t="s">
        <v>88</v>
      </c>
      <c r="B10" s="1">
        <v>45183</v>
      </c>
      <c r="C10" t="s">
        <v>11</v>
      </c>
      <c r="D10">
        <v>3</v>
      </c>
      <c r="E10">
        <v>115</v>
      </c>
      <c r="F10">
        <v>10</v>
      </c>
      <c r="G10">
        <v>1150</v>
      </c>
      <c r="H10">
        <v>153.33000000000001</v>
      </c>
      <c r="I10" t="s">
        <v>22</v>
      </c>
      <c r="J10" t="s">
        <v>37</v>
      </c>
    </row>
    <row r="11" spans="1:10" x14ac:dyDescent="0.25">
      <c r="A11" t="s">
        <v>89</v>
      </c>
      <c r="B11" s="1">
        <v>45184</v>
      </c>
      <c r="C11" t="s">
        <v>12</v>
      </c>
      <c r="D11">
        <v>1</v>
      </c>
      <c r="E11">
        <v>45</v>
      </c>
      <c r="F11">
        <v>10</v>
      </c>
      <c r="G11">
        <v>450</v>
      </c>
      <c r="H11">
        <v>60</v>
      </c>
      <c r="I11" t="s">
        <v>23</v>
      </c>
      <c r="J11" t="s">
        <v>37</v>
      </c>
    </row>
    <row r="12" spans="1:10" x14ac:dyDescent="0.25">
      <c r="A12" t="s">
        <v>89</v>
      </c>
      <c r="B12" s="1">
        <v>45184</v>
      </c>
      <c r="C12" t="s">
        <v>12</v>
      </c>
      <c r="D12">
        <v>2</v>
      </c>
      <c r="E12">
        <v>95</v>
      </c>
      <c r="F12">
        <v>12</v>
      </c>
      <c r="G12">
        <v>1140</v>
      </c>
      <c r="H12">
        <v>133</v>
      </c>
      <c r="I12" t="s">
        <v>23</v>
      </c>
      <c r="J12" t="s">
        <v>37</v>
      </c>
    </row>
    <row r="13" spans="1:10" x14ac:dyDescent="0.25">
      <c r="A13" t="s">
        <v>89</v>
      </c>
      <c r="B13" s="1">
        <v>45184</v>
      </c>
      <c r="C13" t="s">
        <v>12</v>
      </c>
      <c r="D13">
        <v>3</v>
      </c>
      <c r="E13">
        <v>105</v>
      </c>
      <c r="F13">
        <v>10</v>
      </c>
      <c r="G13">
        <v>1050</v>
      </c>
      <c r="H13">
        <v>140</v>
      </c>
      <c r="I13" t="s">
        <v>23</v>
      </c>
      <c r="J13" t="s">
        <v>37</v>
      </c>
    </row>
    <row r="14" spans="1:10" x14ac:dyDescent="0.25">
      <c r="A14" t="s">
        <v>89</v>
      </c>
      <c r="B14" s="1">
        <v>45184</v>
      </c>
      <c r="C14" t="s">
        <v>12</v>
      </c>
      <c r="D14">
        <v>4</v>
      </c>
      <c r="E14">
        <v>105</v>
      </c>
      <c r="F14">
        <v>8</v>
      </c>
      <c r="G14">
        <v>840</v>
      </c>
      <c r="H14">
        <v>133</v>
      </c>
      <c r="I14" t="s">
        <v>23</v>
      </c>
      <c r="J14" t="s">
        <v>37</v>
      </c>
    </row>
    <row r="15" spans="1:10" x14ac:dyDescent="0.25">
      <c r="A15" t="s">
        <v>89</v>
      </c>
      <c r="B15" s="1">
        <v>45184</v>
      </c>
      <c r="C15" t="s">
        <v>13</v>
      </c>
      <c r="D15">
        <v>1</v>
      </c>
      <c r="E15">
        <v>35</v>
      </c>
      <c r="F15">
        <v>15</v>
      </c>
      <c r="G15">
        <v>525</v>
      </c>
      <c r="H15">
        <v>52.5</v>
      </c>
      <c r="I15" t="s">
        <v>23</v>
      </c>
      <c r="J15" t="s">
        <v>38</v>
      </c>
    </row>
    <row r="16" spans="1:10" x14ac:dyDescent="0.25">
      <c r="A16" t="s">
        <v>89</v>
      </c>
      <c r="B16" s="1">
        <v>45184</v>
      </c>
      <c r="C16" t="s">
        <v>13</v>
      </c>
      <c r="D16">
        <v>2</v>
      </c>
      <c r="E16">
        <v>45</v>
      </c>
      <c r="F16">
        <v>15</v>
      </c>
      <c r="G16">
        <v>675</v>
      </c>
      <c r="H16">
        <v>67.5</v>
      </c>
      <c r="I16" t="s">
        <v>23</v>
      </c>
      <c r="J16" t="s">
        <v>38</v>
      </c>
    </row>
    <row r="17" spans="1:10" x14ac:dyDescent="0.25">
      <c r="A17" t="s">
        <v>89</v>
      </c>
      <c r="B17" s="1">
        <v>45184</v>
      </c>
      <c r="C17" t="s">
        <v>13</v>
      </c>
      <c r="D17">
        <v>3</v>
      </c>
      <c r="E17">
        <v>45</v>
      </c>
      <c r="F17">
        <v>10</v>
      </c>
      <c r="G17">
        <v>450</v>
      </c>
      <c r="H17">
        <v>60</v>
      </c>
      <c r="I17" t="s">
        <v>23</v>
      </c>
      <c r="J17" t="s">
        <v>38</v>
      </c>
    </row>
    <row r="18" spans="1:10" x14ac:dyDescent="0.25">
      <c r="A18" t="s">
        <v>89</v>
      </c>
      <c r="B18" s="1">
        <v>45184</v>
      </c>
      <c r="C18" t="s">
        <v>14</v>
      </c>
      <c r="D18">
        <v>1</v>
      </c>
      <c r="E18">
        <v>45</v>
      </c>
      <c r="F18">
        <v>10</v>
      </c>
      <c r="G18">
        <v>450</v>
      </c>
      <c r="H18">
        <v>60</v>
      </c>
      <c r="I18" t="s">
        <v>23</v>
      </c>
      <c r="J18" t="s">
        <v>37</v>
      </c>
    </row>
    <row r="19" spans="1:10" x14ac:dyDescent="0.25">
      <c r="A19" t="s">
        <v>89</v>
      </c>
      <c r="B19" s="1">
        <v>45184</v>
      </c>
      <c r="C19" t="s">
        <v>14</v>
      </c>
      <c r="D19">
        <v>2</v>
      </c>
      <c r="E19">
        <v>50</v>
      </c>
      <c r="F19">
        <v>9</v>
      </c>
      <c r="G19">
        <v>450</v>
      </c>
      <c r="H19">
        <v>65</v>
      </c>
      <c r="I19" t="s">
        <v>23</v>
      </c>
      <c r="J19" t="s">
        <v>37</v>
      </c>
    </row>
    <row r="20" spans="1:10" x14ac:dyDescent="0.25">
      <c r="A20" t="s">
        <v>89</v>
      </c>
      <c r="B20" s="1">
        <v>45184</v>
      </c>
      <c r="C20" t="s">
        <v>14</v>
      </c>
      <c r="D20">
        <v>3</v>
      </c>
      <c r="E20">
        <v>50</v>
      </c>
      <c r="F20">
        <v>5</v>
      </c>
      <c r="G20">
        <v>250</v>
      </c>
      <c r="H20">
        <v>58.33</v>
      </c>
      <c r="I20" t="s">
        <v>23</v>
      </c>
      <c r="J20" t="s">
        <v>37</v>
      </c>
    </row>
    <row r="21" spans="1:10" x14ac:dyDescent="0.25">
      <c r="A21" t="s">
        <v>89</v>
      </c>
      <c r="B21" s="1">
        <v>45184</v>
      </c>
      <c r="C21" t="s">
        <v>45</v>
      </c>
      <c r="D21">
        <v>1</v>
      </c>
      <c r="E21">
        <v>2</v>
      </c>
      <c r="F21">
        <v>20</v>
      </c>
      <c r="G21">
        <v>40</v>
      </c>
      <c r="H21">
        <v>3.33</v>
      </c>
      <c r="I21" t="s">
        <v>23</v>
      </c>
      <c r="J21" t="s">
        <v>38</v>
      </c>
    </row>
    <row r="22" spans="1:10" x14ac:dyDescent="0.25">
      <c r="A22" t="s">
        <v>89</v>
      </c>
      <c r="B22" s="1">
        <v>45184</v>
      </c>
      <c r="C22" t="s">
        <v>45</v>
      </c>
      <c r="D22">
        <v>2</v>
      </c>
      <c r="E22">
        <v>5</v>
      </c>
      <c r="F22">
        <v>20</v>
      </c>
      <c r="G22">
        <v>100</v>
      </c>
      <c r="H22">
        <v>8.33</v>
      </c>
      <c r="I22" t="s">
        <v>23</v>
      </c>
      <c r="J22" t="s">
        <v>38</v>
      </c>
    </row>
    <row r="23" spans="1:10" x14ac:dyDescent="0.25">
      <c r="A23" t="s">
        <v>89</v>
      </c>
      <c r="B23" s="1">
        <v>45184</v>
      </c>
      <c r="C23" t="s">
        <v>45</v>
      </c>
      <c r="D23">
        <v>3</v>
      </c>
      <c r="E23">
        <v>2</v>
      </c>
      <c r="F23">
        <v>20</v>
      </c>
      <c r="G23">
        <v>40</v>
      </c>
      <c r="H23">
        <v>3.33</v>
      </c>
      <c r="I23" t="s">
        <v>23</v>
      </c>
      <c r="J23" t="s">
        <v>38</v>
      </c>
    </row>
    <row r="24" spans="1:10" x14ac:dyDescent="0.25">
      <c r="A24" t="s">
        <v>90</v>
      </c>
      <c r="B24" s="1">
        <v>45186</v>
      </c>
      <c r="C24" t="s">
        <v>11</v>
      </c>
      <c r="D24">
        <v>1</v>
      </c>
      <c r="E24">
        <v>105</v>
      </c>
      <c r="F24">
        <v>10</v>
      </c>
      <c r="G24">
        <v>1050</v>
      </c>
      <c r="H24">
        <v>140</v>
      </c>
      <c r="I24" t="s">
        <v>22</v>
      </c>
      <c r="J24" t="s">
        <v>37</v>
      </c>
    </row>
    <row r="25" spans="1:10" x14ac:dyDescent="0.25">
      <c r="A25" t="s">
        <v>90</v>
      </c>
      <c r="B25" s="1">
        <v>45186</v>
      </c>
      <c r="C25" t="s">
        <v>11</v>
      </c>
      <c r="D25">
        <v>2</v>
      </c>
      <c r="E25">
        <v>120</v>
      </c>
      <c r="F25">
        <v>15</v>
      </c>
      <c r="G25">
        <v>1800</v>
      </c>
      <c r="H25">
        <v>180</v>
      </c>
      <c r="I25" t="s">
        <v>22</v>
      </c>
      <c r="J25" t="s">
        <v>37</v>
      </c>
    </row>
    <row r="26" spans="1:10" x14ac:dyDescent="0.25">
      <c r="A26" t="s">
        <v>91</v>
      </c>
      <c r="B26" s="1">
        <v>45187</v>
      </c>
      <c r="C26" t="s">
        <v>12</v>
      </c>
      <c r="D26">
        <v>1</v>
      </c>
      <c r="E26">
        <v>45</v>
      </c>
      <c r="F26">
        <v>10</v>
      </c>
      <c r="G26">
        <v>450</v>
      </c>
      <c r="H26">
        <v>60</v>
      </c>
      <c r="I26" t="s">
        <v>23</v>
      </c>
      <c r="J26" t="s">
        <v>37</v>
      </c>
    </row>
    <row r="27" spans="1:10" x14ac:dyDescent="0.25">
      <c r="A27" t="s">
        <v>91</v>
      </c>
      <c r="B27" s="1">
        <v>45187</v>
      </c>
      <c r="C27" t="s">
        <v>12</v>
      </c>
      <c r="D27">
        <v>2</v>
      </c>
      <c r="E27">
        <v>95</v>
      </c>
      <c r="F27">
        <v>10</v>
      </c>
      <c r="G27">
        <v>950</v>
      </c>
      <c r="H27">
        <v>126.67</v>
      </c>
      <c r="I27" t="s">
        <v>23</v>
      </c>
      <c r="J27" t="s">
        <v>37</v>
      </c>
    </row>
    <row r="28" spans="1:10" x14ac:dyDescent="0.25">
      <c r="A28" t="s">
        <v>91</v>
      </c>
      <c r="B28" s="1">
        <v>45187</v>
      </c>
      <c r="C28" t="s">
        <v>12</v>
      </c>
      <c r="D28">
        <v>3</v>
      </c>
      <c r="E28">
        <v>110</v>
      </c>
      <c r="F28">
        <v>10</v>
      </c>
      <c r="G28">
        <v>1100</v>
      </c>
      <c r="H28">
        <v>146.66999999999999</v>
      </c>
      <c r="I28" t="s">
        <v>23</v>
      </c>
      <c r="J28" t="s">
        <v>37</v>
      </c>
    </row>
    <row r="29" spans="1:10" x14ac:dyDescent="0.25">
      <c r="A29" t="s">
        <v>91</v>
      </c>
      <c r="B29" s="1">
        <v>45187</v>
      </c>
      <c r="C29" t="s">
        <v>12</v>
      </c>
      <c r="D29">
        <v>4</v>
      </c>
      <c r="E29">
        <v>110</v>
      </c>
      <c r="F29">
        <v>7</v>
      </c>
      <c r="G29">
        <v>770</v>
      </c>
      <c r="H29">
        <v>135.66999999999999</v>
      </c>
      <c r="I29" t="s">
        <v>23</v>
      </c>
      <c r="J29" t="s">
        <v>37</v>
      </c>
    </row>
    <row r="30" spans="1:10" x14ac:dyDescent="0.25">
      <c r="A30" t="s">
        <v>91</v>
      </c>
      <c r="B30" s="1">
        <v>45187</v>
      </c>
      <c r="C30" t="s">
        <v>13</v>
      </c>
      <c r="D30">
        <v>1</v>
      </c>
      <c r="E30">
        <v>35</v>
      </c>
      <c r="F30">
        <v>15</v>
      </c>
      <c r="G30">
        <v>525</v>
      </c>
      <c r="H30">
        <v>52.5</v>
      </c>
      <c r="I30" t="s">
        <v>23</v>
      </c>
      <c r="J30" t="s">
        <v>38</v>
      </c>
    </row>
    <row r="31" spans="1:10" x14ac:dyDescent="0.25">
      <c r="A31" t="s">
        <v>91</v>
      </c>
      <c r="B31" s="1">
        <v>45187</v>
      </c>
      <c r="C31" t="s">
        <v>13</v>
      </c>
      <c r="D31">
        <v>2</v>
      </c>
      <c r="E31">
        <v>45</v>
      </c>
      <c r="F31">
        <v>15</v>
      </c>
      <c r="G31">
        <v>675</v>
      </c>
      <c r="H31">
        <v>67.5</v>
      </c>
      <c r="I31" t="s">
        <v>23</v>
      </c>
      <c r="J31" t="s">
        <v>38</v>
      </c>
    </row>
    <row r="32" spans="1:10" x14ac:dyDescent="0.25">
      <c r="A32" t="s">
        <v>91</v>
      </c>
      <c r="B32" s="1">
        <v>45187</v>
      </c>
      <c r="C32" t="s">
        <v>13</v>
      </c>
      <c r="D32">
        <v>3</v>
      </c>
      <c r="E32">
        <v>45</v>
      </c>
      <c r="F32">
        <v>12</v>
      </c>
      <c r="G32">
        <v>540</v>
      </c>
      <c r="H32">
        <v>63</v>
      </c>
      <c r="I32" t="s">
        <v>23</v>
      </c>
      <c r="J32" t="s">
        <v>38</v>
      </c>
    </row>
    <row r="33" spans="1:10" x14ac:dyDescent="0.25">
      <c r="A33" t="s">
        <v>91</v>
      </c>
      <c r="B33" s="1">
        <v>45187</v>
      </c>
      <c r="C33" t="s">
        <v>14</v>
      </c>
      <c r="D33">
        <v>1</v>
      </c>
      <c r="E33">
        <v>45</v>
      </c>
      <c r="F33">
        <v>10</v>
      </c>
      <c r="G33">
        <v>450</v>
      </c>
      <c r="H33">
        <v>60</v>
      </c>
      <c r="I33" t="s">
        <v>23</v>
      </c>
      <c r="J33" t="s">
        <v>37</v>
      </c>
    </row>
    <row r="34" spans="1:10" x14ac:dyDescent="0.25">
      <c r="A34" t="s">
        <v>91</v>
      </c>
      <c r="B34" s="1">
        <v>45187</v>
      </c>
      <c r="C34" t="s">
        <v>14</v>
      </c>
      <c r="D34">
        <v>2</v>
      </c>
      <c r="E34">
        <v>50</v>
      </c>
      <c r="F34">
        <v>12</v>
      </c>
      <c r="G34">
        <v>600</v>
      </c>
      <c r="H34">
        <v>70</v>
      </c>
      <c r="I34" t="s">
        <v>23</v>
      </c>
      <c r="J34" t="s">
        <v>37</v>
      </c>
    </row>
    <row r="35" spans="1:10" x14ac:dyDescent="0.25">
      <c r="A35" t="s">
        <v>91</v>
      </c>
      <c r="B35" s="1">
        <v>45187</v>
      </c>
      <c r="C35" t="s">
        <v>14</v>
      </c>
      <c r="D35">
        <v>3</v>
      </c>
      <c r="E35">
        <v>55</v>
      </c>
      <c r="F35">
        <v>10</v>
      </c>
      <c r="G35">
        <v>550</v>
      </c>
      <c r="H35">
        <v>73.33</v>
      </c>
      <c r="I35" t="s">
        <v>23</v>
      </c>
      <c r="J35" t="s">
        <v>37</v>
      </c>
    </row>
    <row r="36" spans="1:10" x14ac:dyDescent="0.25">
      <c r="A36" t="s">
        <v>91</v>
      </c>
      <c r="B36" s="1">
        <v>45187</v>
      </c>
      <c r="C36" t="s">
        <v>45</v>
      </c>
      <c r="D36">
        <v>1</v>
      </c>
      <c r="E36">
        <v>2</v>
      </c>
      <c r="F36">
        <v>20</v>
      </c>
      <c r="G36">
        <v>40</v>
      </c>
      <c r="H36">
        <v>3.33</v>
      </c>
      <c r="I36" t="s">
        <v>23</v>
      </c>
      <c r="J36" t="s">
        <v>38</v>
      </c>
    </row>
    <row r="37" spans="1:10" x14ac:dyDescent="0.25">
      <c r="A37" t="s">
        <v>91</v>
      </c>
      <c r="B37" s="1">
        <v>45187</v>
      </c>
      <c r="C37" t="s">
        <v>45</v>
      </c>
      <c r="D37">
        <v>2</v>
      </c>
      <c r="E37">
        <v>2</v>
      </c>
      <c r="F37">
        <v>20</v>
      </c>
      <c r="G37">
        <v>40</v>
      </c>
      <c r="H37">
        <v>3.33</v>
      </c>
      <c r="I37" t="s">
        <v>23</v>
      </c>
      <c r="J37" t="s">
        <v>38</v>
      </c>
    </row>
    <row r="38" spans="1:10" x14ac:dyDescent="0.25">
      <c r="A38" t="s">
        <v>91</v>
      </c>
      <c r="B38" s="1">
        <v>45187</v>
      </c>
      <c r="C38" t="s">
        <v>45</v>
      </c>
      <c r="D38">
        <v>3</v>
      </c>
      <c r="E38">
        <v>2</v>
      </c>
      <c r="F38">
        <v>20</v>
      </c>
      <c r="G38">
        <v>40</v>
      </c>
      <c r="H38">
        <v>3.33</v>
      </c>
      <c r="I38" t="s">
        <v>23</v>
      </c>
      <c r="J38" t="s">
        <v>38</v>
      </c>
    </row>
    <row r="39" spans="1:10" x14ac:dyDescent="0.25">
      <c r="A39" t="s">
        <v>92</v>
      </c>
      <c r="B39" s="1">
        <v>45188</v>
      </c>
      <c r="C39" t="s">
        <v>9</v>
      </c>
      <c r="D39">
        <v>1</v>
      </c>
      <c r="E39">
        <v>45</v>
      </c>
      <c r="F39">
        <v>10</v>
      </c>
      <c r="G39">
        <v>450</v>
      </c>
      <c r="H39">
        <v>60</v>
      </c>
      <c r="I39" t="s">
        <v>21</v>
      </c>
      <c r="J39" t="s">
        <v>37</v>
      </c>
    </row>
    <row r="40" spans="1:10" x14ac:dyDescent="0.25">
      <c r="A40" t="s">
        <v>92</v>
      </c>
      <c r="B40" s="1">
        <v>45188</v>
      </c>
      <c r="C40" t="s">
        <v>9</v>
      </c>
      <c r="D40">
        <v>2</v>
      </c>
      <c r="E40">
        <v>75</v>
      </c>
      <c r="F40">
        <v>10</v>
      </c>
      <c r="G40">
        <v>750</v>
      </c>
      <c r="H40">
        <v>100</v>
      </c>
      <c r="I40" t="s">
        <v>21</v>
      </c>
      <c r="J40" t="s">
        <v>37</v>
      </c>
    </row>
    <row r="41" spans="1:10" x14ac:dyDescent="0.25">
      <c r="A41" t="s">
        <v>92</v>
      </c>
      <c r="B41" s="1">
        <v>45188</v>
      </c>
      <c r="C41" t="s">
        <v>9</v>
      </c>
      <c r="D41">
        <v>3</v>
      </c>
      <c r="E41">
        <v>65</v>
      </c>
      <c r="F41">
        <v>10</v>
      </c>
      <c r="G41">
        <v>650</v>
      </c>
      <c r="H41">
        <v>86.67</v>
      </c>
      <c r="I41" t="s">
        <v>21</v>
      </c>
      <c r="J41" t="s">
        <v>37</v>
      </c>
    </row>
    <row r="42" spans="1:10" x14ac:dyDescent="0.25">
      <c r="A42" t="s">
        <v>92</v>
      </c>
      <c r="B42" s="1">
        <v>45188</v>
      </c>
      <c r="C42" t="s">
        <v>10</v>
      </c>
      <c r="D42">
        <v>1</v>
      </c>
      <c r="E42">
        <v>45</v>
      </c>
      <c r="F42">
        <v>15</v>
      </c>
      <c r="G42">
        <v>675</v>
      </c>
      <c r="H42">
        <v>67.5</v>
      </c>
      <c r="I42" t="s">
        <v>21</v>
      </c>
      <c r="J42" t="s">
        <v>38</v>
      </c>
    </row>
    <row r="43" spans="1:10" x14ac:dyDescent="0.25">
      <c r="A43" t="s">
        <v>92</v>
      </c>
      <c r="B43" s="1">
        <v>45188</v>
      </c>
      <c r="C43" t="s">
        <v>10</v>
      </c>
      <c r="D43">
        <v>2</v>
      </c>
      <c r="E43">
        <v>50</v>
      </c>
      <c r="F43">
        <v>13</v>
      </c>
      <c r="G43">
        <v>650</v>
      </c>
      <c r="H43">
        <v>71.67</v>
      </c>
      <c r="I43" t="s">
        <v>21</v>
      </c>
      <c r="J43" t="s">
        <v>38</v>
      </c>
    </row>
    <row r="44" spans="1:10" x14ac:dyDescent="0.25">
      <c r="A44" t="s">
        <v>92</v>
      </c>
      <c r="B44" s="1">
        <v>45188</v>
      </c>
      <c r="C44" t="s">
        <v>10</v>
      </c>
      <c r="D44">
        <v>3</v>
      </c>
      <c r="E44">
        <v>50</v>
      </c>
      <c r="F44">
        <v>11</v>
      </c>
      <c r="G44">
        <v>550</v>
      </c>
      <c r="H44">
        <v>68.33</v>
      </c>
      <c r="I44" t="s">
        <v>21</v>
      </c>
      <c r="J44" t="s">
        <v>38</v>
      </c>
    </row>
    <row r="45" spans="1:10" x14ac:dyDescent="0.25">
      <c r="A45" t="s">
        <v>93</v>
      </c>
      <c r="B45" s="1">
        <v>45189</v>
      </c>
      <c r="C45" t="s">
        <v>15</v>
      </c>
      <c r="D45">
        <v>1</v>
      </c>
      <c r="E45">
        <v>45</v>
      </c>
      <c r="F45">
        <v>8</v>
      </c>
      <c r="G45">
        <v>360</v>
      </c>
      <c r="H45">
        <v>57</v>
      </c>
      <c r="I45" t="s">
        <v>22</v>
      </c>
      <c r="J45" t="s">
        <v>38</v>
      </c>
    </row>
    <row r="46" spans="1:10" x14ac:dyDescent="0.25">
      <c r="A46" t="s">
        <v>93</v>
      </c>
      <c r="B46" s="1">
        <v>45189</v>
      </c>
      <c r="C46" t="s">
        <v>15</v>
      </c>
      <c r="D46">
        <v>2</v>
      </c>
      <c r="E46">
        <v>45</v>
      </c>
      <c r="F46">
        <v>10</v>
      </c>
      <c r="G46">
        <v>450</v>
      </c>
      <c r="H46">
        <v>60</v>
      </c>
      <c r="I46" t="s">
        <v>22</v>
      </c>
      <c r="J46" t="s">
        <v>38</v>
      </c>
    </row>
    <row r="47" spans="1:10" x14ac:dyDescent="0.25">
      <c r="A47" t="s">
        <v>93</v>
      </c>
      <c r="B47" s="1">
        <v>45189</v>
      </c>
      <c r="C47" t="s">
        <v>15</v>
      </c>
      <c r="D47">
        <v>3</v>
      </c>
      <c r="E47">
        <v>65</v>
      </c>
      <c r="F47">
        <v>10</v>
      </c>
      <c r="G47">
        <v>650</v>
      </c>
      <c r="H47">
        <v>86.67</v>
      </c>
      <c r="I47" t="s">
        <v>22</v>
      </c>
      <c r="J47" t="s">
        <v>38</v>
      </c>
    </row>
    <row r="48" spans="1:10" x14ac:dyDescent="0.25">
      <c r="A48" t="s">
        <v>93</v>
      </c>
      <c r="B48" s="1">
        <v>45189</v>
      </c>
      <c r="C48" t="s">
        <v>15</v>
      </c>
      <c r="D48">
        <v>4</v>
      </c>
      <c r="E48">
        <v>80</v>
      </c>
      <c r="F48">
        <v>10</v>
      </c>
      <c r="G48">
        <v>800</v>
      </c>
      <c r="H48">
        <v>106.67</v>
      </c>
      <c r="I48" t="s">
        <v>22</v>
      </c>
      <c r="J48" t="s">
        <v>38</v>
      </c>
    </row>
    <row r="49" spans="1:10" x14ac:dyDescent="0.25">
      <c r="A49" t="s">
        <v>93</v>
      </c>
      <c r="B49" s="1">
        <v>45189</v>
      </c>
      <c r="C49" t="s">
        <v>15</v>
      </c>
      <c r="D49">
        <v>5</v>
      </c>
      <c r="E49">
        <v>80</v>
      </c>
      <c r="F49">
        <v>10</v>
      </c>
      <c r="G49">
        <v>800</v>
      </c>
      <c r="H49">
        <v>106.67</v>
      </c>
      <c r="I49" t="s">
        <v>22</v>
      </c>
      <c r="J49" t="s">
        <v>38</v>
      </c>
    </row>
    <row r="50" spans="1:10" x14ac:dyDescent="0.25">
      <c r="A50" t="s">
        <v>93</v>
      </c>
      <c r="B50" s="1">
        <v>45189</v>
      </c>
      <c r="C50" t="s">
        <v>11</v>
      </c>
      <c r="D50">
        <v>1</v>
      </c>
      <c r="E50">
        <v>95</v>
      </c>
      <c r="F50">
        <v>10</v>
      </c>
      <c r="G50">
        <v>950</v>
      </c>
      <c r="H50">
        <v>126.67</v>
      </c>
      <c r="I50" t="s">
        <v>22</v>
      </c>
      <c r="J50" t="s">
        <v>37</v>
      </c>
    </row>
    <row r="51" spans="1:10" x14ac:dyDescent="0.25">
      <c r="A51" t="s">
        <v>93</v>
      </c>
      <c r="B51" s="1">
        <v>45189</v>
      </c>
      <c r="C51" t="s">
        <v>11</v>
      </c>
      <c r="D51">
        <v>2</v>
      </c>
      <c r="E51">
        <v>130</v>
      </c>
      <c r="F51">
        <v>10</v>
      </c>
      <c r="G51">
        <v>1300</v>
      </c>
      <c r="H51">
        <v>173.33</v>
      </c>
      <c r="I51" t="s">
        <v>22</v>
      </c>
      <c r="J51" t="s">
        <v>37</v>
      </c>
    </row>
    <row r="52" spans="1:10" x14ac:dyDescent="0.25">
      <c r="A52" t="s">
        <v>93</v>
      </c>
      <c r="B52" s="1">
        <v>45189</v>
      </c>
      <c r="C52" t="s">
        <v>11</v>
      </c>
      <c r="D52">
        <v>3</v>
      </c>
      <c r="E52">
        <v>130</v>
      </c>
      <c r="F52">
        <v>10</v>
      </c>
      <c r="G52">
        <v>1300</v>
      </c>
      <c r="H52">
        <v>173.33</v>
      </c>
      <c r="I52" t="s">
        <v>22</v>
      </c>
      <c r="J52" t="s">
        <v>37</v>
      </c>
    </row>
    <row r="53" spans="1:10" x14ac:dyDescent="0.25">
      <c r="A53" t="s">
        <v>94</v>
      </c>
      <c r="B53" s="1">
        <v>45190</v>
      </c>
      <c r="C53" t="s">
        <v>12</v>
      </c>
      <c r="D53">
        <v>1</v>
      </c>
      <c r="E53">
        <v>45</v>
      </c>
      <c r="F53">
        <v>10</v>
      </c>
      <c r="G53">
        <v>450</v>
      </c>
      <c r="H53">
        <v>60</v>
      </c>
      <c r="I53" t="s">
        <v>23</v>
      </c>
      <c r="J53" t="s">
        <v>37</v>
      </c>
    </row>
    <row r="54" spans="1:10" x14ac:dyDescent="0.25">
      <c r="A54" t="s">
        <v>94</v>
      </c>
      <c r="B54" s="1">
        <v>45190</v>
      </c>
      <c r="C54" t="s">
        <v>12</v>
      </c>
      <c r="D54">
        <v>2</v>
      </c>
      <c r="E54">
        <v>95</v>
      </c>
      <c r="F54">
        <v>10</v>
      </c>
      <c r="G54">
        <v>950</v>
      </c>
      <c r="H54">
        <v>126.67</v>
      </c>
      <c r="I54" t="s">
        <v>23</v>
      </c>
      <c r="J54" t="s">
        <v>37</v>
      </c>
    </row>
    <row r="55" spans="1:10" x14ac:dyDescent="0.25">
      <c r="A55" t="s">
        <v>94</v>
      </c>
      <c r="B55" s="1">
        <v>45190</v>
      </c>
      <c r="C55" t="s">
        <v>12</v>
      </c>
      <c r="D55">
        <v>3</v>
      </c>
      <c r="E55">
        <v>115</v>
      </c>
      <c r="F55">
        <v>9</v>
      </c>
      <c r="G55">
        <v>1035</v>
      </c>
      <c r="H55">
        <v>149.5</v>
      </c>
      <c r="I55" t="s">
        <v>23</v>
      </c>
      <c r="J55" t="s">
        <v>37</v>
      </c>
    </row>
    <row r="56" spans="1:10" x14ac:dyDescent="0.25">
      <c r="A56" t="s">
        <v>94</v>
      </c>
      <c r="B56" s="1">
        <v>45190</v>
      </c>
      <c r="C56" t="s">
        <v>12</v>
      </c>
      <c r="D56">
        <v>4</v>
      </c>
      <c r="E56">
        <v>95</v>
      </c>
      <c r="F56">
        <v>10</v>
      </c>
      <c r="G56">
        <v>950</v>
      </c>
      <c r="H56">
        <v>126.67</v>
      </c>
      <c r="I56" t="s">
        <v>23</v>
      </c>
      <c r="J56" t="s">
        <v>37</v>
      </c>
    </row>
    <row r="57" spans="1:10" x14ac:dyDescent="0.25">
      <c r="A57" t="s">
        <v>94</v>
      </c>
      <c r="B57" s="1">
        <v>45190</v>
      </c>
      <c r="C57" t="s">
        <v>13</v>
      </c>
      <c r="D57">
        <v>1</v>
      </c>
      <c r="E57">
        <v>45</v>
      </c>
      <c r="F57">
        <v>16</v>
      </c>
      <c r="G57">
        <v>720</v>
      </c>
      <c r="H57">
        <v>69</v>
      </c>
      <c r="I57" t="s">
        <v>23</v>
      </c>
      <c r="J57" t="s">
        <v>38</v>
      </c>
    </row>
    <row r="58" spans="1:10" x14ac:dyDescent="0.25">
      <c r="A58" t="s">
        <v>94</v>
      </c>
      <c r="B58" s="1">
        <v>45190</v>
      </c>
      <c r="C58" t="s">
        <v>13</v>
      </c>
      <c r="D58">
        <v>2</v>
      </c>
      <c r="E58">
        <v>50</v>
      </c>
      <c r="F58">
        <v>12</v>
      </c>
      <c r="G58">
        <v>600</v>
      </c>
      <c r="H58">
        <v>70</v>
      </c>
      <c r="I58" t="s">
        <v>23</v>
      </c>
      <c r="J58" t="s">
        <v>38</v>
      </c>
    </row>
    <row r="59" spans="1:10" x14ac:dyDescent="0.25">
      <c r="A59" t="s">
        <v>94</v>
      </c>
      <c r="B59" s="1">
        <v>45190</v>
      </c>
      <c r="C59" t="s">
        <v>13</v>
      </c>
      <c r="D59">
        <v>3</v>
      </c>
      <c r="E59">
        <v>40</v>
      </c>
      <c r="F59">
        <v>13</v>
      </c>
      <c r="G59">
        <v>520</v>
      </c>
      <c r="H59">
        <v>57.33</v>
      </c>
      <c r="I59" t="s">
        <v>23</v>
      </c>
      <c r="J59" t="s">
        <v>38</v>
      </c>
    </row>
    <row r="60" spans="1:10" x14ac:dyDescent="0.25">
      <c r="A60" t="s">
        <v>94</v>
      </c>
      <c r="B60" s="1">
        <v>45190</v>
      </c>
      <c r="C60" t="s">
        <v>14</v>
      </c>
      <c r="D60">
        <v>1</v>
      </c>
      <c r="E60">
        <v>50</v>
      </c>
      <c r="F60">
        <v>10</v>
      </c>
      <c r="G60">
        <v>500</v>
      </c>
      <c r="H60">
        <v>66.67</v>
      </c>
      <c r="I60" t="s">
        <v>23</v>
      </c>
      <c r="J60" t="s">
        <v>37</v>
      </c>
    </row>
    <row r="61" spans="1:10" x14ac:dyDescent="0.25">
      <c r="A61" t="s">
        <v>94</v>
      </c>
      <c r="B61" s="1">
        <v>45190</v>
      </c>
      <c r="C61" t="s">
        <v>14</v>
      </c>
      <c r="D61">
        <v>2</v>
      </c>
      <c r="E61">
        <v>55</v>
      </c>
      <c r="F61">
        <v>12</v>
      </c>
      <c r="G61">
        <v>660</v>
      </c>
      <c r="H61">
        <v>77</v>
      </c>
      <c r="I61" t="s">
        <v>23</v>
      </c>
      <c r="J61" t="s">
        <v>37</v>
      </c>
    </row>
    <row r="62" spans="1:10" x14ac:dyDescent="0.25">
      <c r="A62" t="s">
        <v>94</v>
      </c>
      <c r="B62" s="1">
        <v>45190</v>
      </c>
      <c r="C62" t="s">
        <v>14</v>
      </c>
      <c r="D62">
        <v>3</v>
      </c>
      <c r="E62">
        <v>60</v>
      </c>
      <c r="F62">
        <v>8</v>
      </c>
      <c r="G62">
        <v>480</v>
      </c>
      <c r="H62">
        <v>76</v>
      </c>
      <c r="I62" t="s">
        <v>23</v>
      </c>
      <c r="J62" t="s">
        <v>37</v>
      </c>
    </row>
    <row r="63" spans="1:10" x14ac:dyDescent="0.25">
      <c r="A63" t="s">
        <v>94</v>
      </c>
      <c r="B63" s="1">
        <v>45190</v>
      </c>
      <c r="C63" t="s">
        <v>45</v>
      </c>
      <c r="D63">
        <v>1</v>
      </c>
      <c r="E63">
        <v>2</v>
      </c>
      <c r="F63">
        <v>20</v>
      </c>
      <c r="G63">
        <v>40</v>
      </c>
      <c r="H63">
        <v>3.33</v>
      </c>
      <c r="I63" t="s">
        <v>23</v>
      </c>
      <c r="J63" t="s">
        <v>38</v>
      </c>
    </row>
    <row r="64" spans="1:10" x14ac:dyDescent="0.25">
      <c r="A64" t="s">
        <v>94</v>
      </c>
      <c r="B64" s="1">
        <v>45190</v>
      </c>
      <c r="C64" t="s">
        <v>45</v>
      </c>
      <c r="D64">
        <v>2</v>
      </c>
      <c r="E64">
        <v>5</v>
      </c>
      <c r="F64">
        <v>20</v>
      </c>
      <c r="G64">
        <v>100</v>
      </c>
      <c r="H64">
        <v>8.33</v>
      </c>
      <c r="I64" t="s">
        <v>23</v>
      </c>
      <c r="J64" t="s">
        <v>38</v>
      </c>
    </row>
    <row r="65" spans="1:10" x14ac:dyDescent="0.25">
      <c r="A65" t="s">
        <v>94</v>
      </c>
      <c r="B65" s="1">
        <v>45190</v>
      </c>
      <c r="C65" t="s">
        <v>45</v>
      </c>
      <c r="D65">
        <v>3</v>
      </c>
      <c r="E65">
        <v>2</v>
      </c>
      <c r="F65">
        <v>20</v>
      </c>
      <c r="G65">
        <v>40</v>
      </c>
      <c r="H65">
        <v>3.33</v>
      </c>
      <c r="I65" t="s">
        <v>23</v>
      </c>
      <c r="J65" t="s">
        <v>38</v>
      </c>
    </row>
    <row r="66" spans="1:10" x14ac:dyDescent="0.25">
      <c r="A66" t="s">
        <v>95</v>
      </c>
      <c r="B66" s="1">
        <v>45191</v>
      </c>
      <c r="C66" t="s">
        <v>9</v>
      </c>
      <c r="D66">
        <v>1</v>
      </c>
      <c r="E66">
        <v>45</v>
      </c>
      <c r="F66">
        <v>10</v>
      </c>
      <c r="G66">
        <v>450</v>
      </c>
      <c r="H66">
        <v>60</v>
      </c>
      <c r="I66" t="s">
        <v>21</v>
      </c>
      <c r="J66" t="s">
        <v>37</v>
      </c>
    </row>
    <row r="67" spans="1:10" x14ac:dyDescent="0.25">
      <c r="A67" t="s">
        <v>95</v>
      </c>
      <c r="B67" s="1">
        <v>45191</v>
      </c>
      <c r="C67" t="s">
        <v>9</v>
      </c>
      <c r="D67">
        <v>2</v>
      </c>
      <c r="E67">
        <v>75</v>
      </c>
      <c r="F67">
        <v>12</v>
      </c>
      <c r="G67">
        <v>900</v>
      </c>
      <c r="H67">
        <v>105</v>
      </c>
      <c r="I67" t="s">
        <v>21</v>
      </c>
      <c r="J67" t="s">
        <v>37</v>
      </c>
    </row>
    <row r="68" spans="1:10" x14ac:dyDescent="0.25">
      <c r="A68" t="s">
        <v>95</v>
      </c>
      <c r="B68" s="1">
        <v>45191</v>
      </c>
      <c r="C68" t="s">
        <v>9</v>
      </c>
      <c r="D68">
        <v>3</v>
      </c>
      <c r="E68">
        <v>75</v>
      </c>
      <c r="F68">
        <v>12</v>
      </c>
      <c r="G68">
        <v>900</v>
      </c>
      <c r="H68">
        <v>105</v>
      </c>
      <c r="I68" t="s">
        <v>21</v>
      </c>
      <c r="J68" t="s">
        <v>37</v>
      </c>
    </row>
    <row r="69" spans="1:10" x14ac:dyDescent="0.25">
      <c r="A69" t="s">
        <v>95</v>
      </c>
      <c r="B69" s="1">
        <v>45191</v>
      </c>
      <c r="C69" t="s">
        <v>10</v>
      </c>
      <c r="D69">
        <v>1</v>
      </c>
      <c r="E69">
        <v>50</v>
      </c>
      <c r="F69">
        <v>15</v>
      </c>
      <c r="G69">
        <v>750</v>
      </c>
      <c r="H69">
        <v>75</v>
      </c>
      <c r="I69" t="s">
        <v>21</v>
      </c>
      <c r="J69" t="s">
        <v>38</v>
      </c>
    </row>
    <row r="70" spans="1:10" x14ac:dyDescent="0.25">
      <c r="A70" t="s">
        <v>95</v>
      </c>
      <c r="B70" s="1">
        <v>45191</v>
      </c>
      <c r="C70" t="s">
        <v>10</v>
      </c>
      <c r="D70">
        <v>2</v>
      </c>
      <c r="E70">
        <v>55</v>
      </c>
      <c r="F70">
        <v>11</v>
      </c>
      <c r="G70">
        <v>605</v>
      </c>
      <c r="H70">
        <v>75.17</v>
      </c>
      <c r="I70" t="s">
        <v>21</v>
      </c>
      <c r="J70" t="s">
        <v>38</v>
      </c>
    </row>
    <row r="71" spans="1:10" x14ac:dyDescent="0.25">
      <c r="A71" t="s">
        <v>95</v>
      </c>
      <c r="B71" s="1">
        <v>45191</v>
      </c>
      <c r="C71" t="s">
        <v>10</v>
      </c>
      <c r="D71">
        <v>3</v>
      </c>
      <c r="E71">
        <v>50</v>
      </c>
      <c r="F71">
        <v>13</v>
      </c>
      <c r="G71">
        <v>650</v>
      </c>
      <c r="H71">
        <v>71.67</v>
      </c>
      <c r="I71" t="s">
        <v>21</v>
      </c>
      <c r="J71" t="s">
        <v>38</v>
      </c>
    </row>
    <row r="72" spans="1:10" x14ac:dyDescent="0.25">
      <c r="A72" t="s">
        <v>96</v>
      </c>
      <c r="B72" s="1">
        <v>45193</v>
      </c>
      <c r="C72" t="s">
        <v>15</v>
      </c>
      <c r="D72">
        <v>1</v>
      </c>
      <c r="E72">
        <v>45</v>
      </c>
      <c r="F72">
        <v>10</v>
      </c>
      <c r="G72">
        <v>450</v>
      </c>
      <c r="H72">
        <v>60</v>
      </c>
      <c r="I72" t="s">
        <v>22</v>
      </c>
      <c r="J72" t="s">
        <v>38</v>
      </c>
    </row>
    <row r="73" spans="1:10" x14ac:dyDescent="0.25">
      <c r="A73" t="s">
        <v>96</v>
      </c>
      <c r="B73" s="1">
        <v>45193</v>
      </c>
      <c r="C73" t="s">
        <v>15</v>
      </c>
      <c r="D73">
        <v>2</v>
      </c>
      <c r="E73">
        <v>55</v>
      </c>
      <c r="F73">
        <v>10</v>
      </c>
      <c r="G73">
        <v>550</v>
      </c>
      <c r="H73">
        <v>73.33</v>
      </c>
      <c r="I73" t="s">
        <v>22</v>
      </c>
      <c r="J73" t="s">
        <v>38</v>
      </c>
    </row>
    <row r="74" spans="1:10" x14ac:dyDescent="0.25">
      <c r="A74" t="s">
        <v>96</v>
      </c>
      <c r="B74" s="1">
        <v>45193</v>
      </c>
      <c r="C74" t="s">
        <v>15</v>
      </c>
      <c r="D74">
        <v>3</v>
      </c>
      <c r="E74">
        <v>95</v>
      </c>
      <c r="F74">
        <v>8</v>
      </c>
      <c r="G74">
        <v>760</v>
      </c>
      <c r="H74">
        <v>120.33</v>
      </c>
      <c r="I74" t="s">
        <v>22</v>
      </c>
      <c r="J74" t="s">
        <v>38</v>
      </c>
    </row>
    <row r="75" spans="1:10" x14ac:dyDescent="0.25">
      <c r="A75" t="s">
        <v>96</v>
      </c>
      <c r="B75" s="1">
        <v>45193</v>
      </c>
      <c r="C75" t="s">
        <v>15</v>
      </c>
      <c r="D75">
        <v>4</v>
      </c>
      <c r="E75">
        <v>95</v>
      </c>
      <c r="F75">
        <v>6</v>
      </c>
      <c r="G75">
        <v>570</v>
      </c>
      <c r="H75">
        <v>114</v>
      </c>
      <c r="I75" t="s">
        <v>22</v>
      </c>
      <c r="J75" t="s">
        <v>38</v>
      </c>
    </row>
    <row r="76" spans="1:10" x14ac:dyDescent="0.25">
      <c r="A76" t="s">
        <v>96</v>
      </c>
      <c r="B76" s="1">
        <v>45193</v>
      </c>
      <c r="C76" t="s">
        <v>15</v>
      </c>
      <c r="D76">
        <v>5</v>
      </c>
      <c r="E76">
        <v>95</v>
      </c>
      <c r="F76">
        <v>10</v>
      </c>
      <c r="G76">
        <v>950</v>
      </c>
      <c r="H76">
        <v>126.67</v>
      </c>
      <c r="I76" t="s">
        <v>22</v>
      </c>
      <c r="J76" t="s">
        <v>38</v>
      </c>
    </row>
    <row r="77" spans="1:10" x14ac:dyDescent="0.25">
      <c r="A77" t="s">
        <v>96</v>
      </c>
      <c r="B77" s="1">
        <v>45193</v>
      </c>
      <c r="C77" t="s">
        <v>11</v>
      </c>
      <c r="D77">
        <v>1</v>
      </c>
      <c r="E77">
        <v>95</v>
      </c>
      <c r="F77">
        <v>10</v>
      </c>
      <c r="G77">
        <v>950</v>
      </c>
      <c r="H77">
        <v>126.67</v>
      </c>
      <c r="I77" t="s">
        <v>22</v>
      </c>
      <c r="J77" t="s">
        <v>37</v>
      </c>
    </row>
    <row r="78" spans="1:10" x14ac:dyDescent="0.25">
      <c r="A78" t="s">
        <v>96</v>
      </c>
      <c r="B78" s="1">
        <v>45193</v>
      </c>
      <c r="C78" t="s">
        <v>11</v>
      </c>
      <c r="D78">
        <v>2</v>
      </c>
      <c r="E78">
        <v>135</v>
      </c>
      <c r="F78">
        <v>10</v>
      </c>
      <c r="G78">
        <v>1350</v>
      </c>
      <c r="H78">
        <v>180</v>
      </c>
      <c r="I78" t="s">
        <v>22</v>
      </c>
      <c r="J78" t="s">
        <v>37</v>
      </c>
    </row>
    <row r="79" spans="1:10" x14ac:dyDescent="0.25">
      <c r="A79" t="s">
        <v>96</v>
      </c>
      <c r="B79" s="1">
        <v>45193</v>
      </c>
      <c r="C79" t="s">
        <v>11</v>
      </c>
      <c r="D79">
        <v>3</v>
      </c>
      <c r="E79">
        <v>145</v>
      </c>
      <c r="F79">
        <v>10</v>
      </c>
      <c r="G79">
        <v>1450</v>
      </c>
      <c r="H79">
        <v>193.33</v>
      </c>
      <c r="I79" t="s">
        <v>22</v>
      </c>
      <c r="J79" t="s">
        <v>37</v>
      </c>
    </row>
    <row r="80" spans="1:10" x14ac:dyDescent="0.25">
      <c r="A80" t="s">
        <v>97</v>
      </c>
      <c r="B80" s="1">
        <v>45194</v>
      </c>
      <c r="C80" t="s">
        <v>12</v>
      </c>
      <c r="D80">
        <v>1</v>
      </c>
      <c r="E80">
        <v>45</v>
      </c>
      <c r="F80">
        <v>12</v>
      </c>
      <c r="G80">
        <v>540</v>
      </c>
      <c r="H80">
        <v>63</v>
      </c>
      <c r="I80" t="s">
        <v>23</v>
      </c>
      <c r="J80" t="s">
        <v>37</v>
      </c>
    </row>
    <row r="81" spans="1:10" x14ac:dyDescent="0.25">
      <c r="A81" t="s">
        <v>97</v>
      </c>
      <c r="B81" s="1">
        <v>45194</v>
      </c>
      <c r="C81" t="s">
        <v>12</v>
      </c>
      <c r="D81">
        <v>2</v>
      </c>
      <c r="E81">
        <v>75</v>
      </c>
      <c r="F81">
        <v>12</v>
      </c>
      <c r="G81">
        <v>900</v>
      </c>
      <c r="H81">
        <v>105</v>
      </c>
      <c r="I81" t="s">
        <v>23</v>
      </c>
      <c r="J81" t="s">
        <v>37</v>
      </c>
    </row>
    <row r="82" spans="1:10" x14ac:dyDescent="0.25">
      <c r="A82" t="s">
        <v>97</v>
      </c>
      <c r="B82" s="1">
        <v>45194</v>
      </c>
      <c r="C82" t="s">
        <v>12</v>
      </c>
      <c r="D82">
        <v>3</v>
      </c>
      <c r="E82">
        <v>95</v>
      </c>
      <c r="F82">
        <v>10</v>
      </c>
      <c r="G82">
        <v>950</v>
      </c>
      <c r="H82">
        <v>126.67</v>
      </c>
      <c r="I82" t="s">
        <v>23</v>
      </c>
      <c r="J82" t="s">
        <v>37</v>
      </c>
    </row>
    <row r="83" spans="1:10" x14ac:dyDescent="0.25">
      <c r="A83" t="s">
        <v>97</v>
      </c>
      <c r="B83" s="1">
        <v>45194</v>
      </c>
      <c r="C83" t="s">
        <v>12</v>
      </c>
      <c r="D83">
        <v>4</v>
      </c>
      <c r="E83">
        <v>125</v>
      </c>
      <c r="F83">
        <v>5</v>
      </c>
      <c r="G83">
        <v>625</v>
      </c>
      <c r="H83">
        <v>145.83000000000001</v>
      </c>
      <c r="I83" t="s">
        <v>23</v>
      </c>
      <c r="J83" t="s">
        <v>37</v>
      </c>
    </row>
    <row r="84" spans="1:10" x14ac:dyDescent="0.25">
      <c r="A84" t="s">
        <v>97</v>
      </c>
      <c r="B84" s="1">
        <v>45194</v>
      </c>
      <c r="C84" t="s">
        <v>12</v>
      </c>
      <c r="D84">
        <v>5</v>
      </c>
      <c r="E84">
        <v>125</v>
      </c>
      <c r="F84">
        <v>5</v>
      </c>
      <c r="G84">
        <v>625</v>
      </c>
      <c r="H84">
        <v>145.83000000000001</v>
      </c>
      <c r="I84" t="s">
        <v>23</v>
      </c>
      <c r="J84" t="s">
        <v>37</v>
      </c>
    </row>
    <row r="85" spans="1:10" x14ac:dyDescent="0.25">
      <c r="A85" t="s">
        <v>97</v>
      </c>
      <c r="B85" s="1">
        <v>45194</v>
      </c>
      <c r="C85" t="s">
        <v>13</v>
      </c>
      <c r="D85">
        <v>1</v>
      </c>
      <c r="E85">
        <v>45</v>
      </c>
      <c r="F85">
        <v>15</v>
      </c>
      <c r="G85">
        <v>675</v>
      </c>
      <c r="H85">
        <v>67.5</v>
      </c>
      <c r="I85" t="s">
        <v>23</v>
      </c>
      <c r="J85" t="s">
        <v>38</v>
      </c>
    </row>
    <row r="86" spans="1:10" x14ac:dyDescent="0.25">
      <c r="A86" t="s">
        <v>97</v>
      </c>
      <c r="B86" s="1">
        <v>45194</v>
      </c>
      <c r="C86" t="s">
        <v>13</v>
      </c>
      <c r="D86">
        <v>2</v>
      </c>
      <c r="E86">
        <v>50</v>
      </c>
      <c r="F86">
        <v>12</v>
      </c>
      <c r="G86">
        <v>600</v>
      </c>
      <c r="H86">
        <v>70</v>
      </c>
      <c r="I86" t="s">
        <v>23</v>
      </c>
      <c r="J86" t="s">
        <v>38</v>
      </c>
    </row>
    <row r="87" spans="1:10" x14ac:dyDescent="0.25">
      <c r="A87" t="s">
        <v>97</v>
      </c>
      <c r="B87" s="1">
        <v>45194</v>
      </c>
      <c r="C87" t="s">
        <v>13</v>
      </c>
      <c r="D87">
        <v>3</v>
      </c>
      <c r="E87">
        <v>50</v>
      </c>
      <c r="F87">
        <v>10</v>
      </c>
      <c r="G87">
        <v>500</v>
      </c>
      <c r="H87">
        <v>66.67</v>
      </c>
      <c r="I87" t="s">
        <v>23</v>
      </c>
      <c r="J87" t="s">
        <v>38</v>
      </c>
    </row>
    <row r="88" spans="1:10" x14ac:dyDescent="0.25">
      <c r="A88" t="s">
        <v>97</v>
      </c>
      <c r="B88" s="1">
        <v>45194</v>
      </c>
      <c r="C88" t="s">
        <v>14</v>
      </c>
      <c r="D88">
        <v>1</v>
      </c>
      <c r="E88">
        <v>55</v>
      </c>
      <c r="F88">
        <v>10</v>
      </c>
      <c r="G88">
        <v>550</v>
      </c>
      <c r="H88">
        <v>73.33</v>
      </c>
      <c r="I88" t="s">
        <v>23</v>
      </c>
      <c r="J88" t="s">
        <v>37</v>
      </c>
    </row>
    <row r="89" spans="1:10" x14ac:dyDescent="0.25">
      <c r="A89" t="s">
        <v>97</v>
      </c>
      <c r="B89" s="1">
        <v>45194</v>
      </c>
      <c r="C89" t="s">
        <v>14</v>
      </c>
      <c r="D89">
        <v>2</v>
      </c>
      <c r="E89">
        <v>55</v>
      </c>
      <c r="F89">
        <v>10</v>
      </c>
      <c r="G89">
        <v>550</v>
      </c>
      <c r="H89">
        <v>73.33</v>
      </c>
      <c r="I89" t="s">
        <v>23</v>
      </c>
      <c r="J89" t="s">
        <v>37</v>
      </c>
    </row>
    <row r="90" spans="1:10" x14ac:dyDescent="0.25">
      <c r="A90" t="s">
        <v>97</v>
      </c>
      <c r="B90" s="1">
        <v>45194</v>
      </c>
      <c r="C90" t="s">
        <v>14</v>
      </c>
      <c r="D90">
        <v>3</v>
      </c>
      <c r="E90">
        <v>60</v>
      </c>
      <c r="F90">
        <v>9</v>
      </c>
      <c r="G90">
        <v>540</v>
      </c>
      <c r="H90">
        <v>78</v>
      </c>
      <c r="I90" t="s">
        <v>23</v>
      </c>
      <c r="J90" t="s">
        <v>37</v>
      </c>
    </row>
    <row r="91" spans="1:10" x14ac:dyDescent="0.25">
      <c r="A91" t="s">
        <v>97</v>
      </c>
      <c r="B91" s="1">
        <v>45194</v>
      </c>
      <c r="C91" t="s">
        <v>45</v>
      </c>
      <c r="D91">
        <v>1</v>
      </c>
      <c r="E91">
        <v>2</v>
      </c>
      <c r="F91">
        <v>20</v>
      </c>
      <c r="G91">
        <v>40</v>
      </c>
      <c r="H91">
        <v>3.33</v>
      </c>
      <c r="I91" t="s">
        <v>23</v>
      </c>
      <c r="J91" t="s">
        <v>38</v>
      </c>
    </row>
    <row r="92" spans="1:10" x14ac:dyDescent="0.25">
      <c r="A92" t="s">
        <v>97</v>
      </c>
      <c r="B92" s="1">
        <v>45194</v>
      </c>
      <c r="C92" t="s">
        <v>45</v>
      </c>
      <c r="D92">
        <v>2</v>
      </c>
      <c r="E92">
        <v>5</v>
      </c>
      <c r="F92">
        <v>20</v>
      </c>
      <c r="G92">
        <v>100</v>
      </c>
      <c r="H92">
        <v>8.33</v>
      </c>
      <c r="I92" t="s">
        <v>23</v>
      </c>
      <c r="J92" t="s">
        <v>38</v>
      </c>
    </row>
    <row r="93" spans="1:10" x14ac:dyDescent="0.25">
      <c r="A93" t="s">
        <v>97</v>
      </c>
      <c r="B93" s="1">
        <v>45194</v>
      </c>
      <c r="C93" t="s">
        <v>45</v>
      </c>
      <c r="D93">
        <v>3</v>
      </c>
      <c r="E93">
        <v>5</v>
      </c>
      <c r="F93">
        <v>20</v>
      </c>
      <c r="G93">
        <v>100</v>
      </c>
      <c r="H93">
        <v>8.33</v>
      </c>
      <c r="I93" t="s">
        <v>23</v>
      </c>
      <c r="J93" t="s">
        <v>38</v>
      </c>
    </row>
    <row r="94" spans="1:10" x14ac:dyDescent="0.25">
      <c r="A94" t="s">
        <v>98</v>
      </c>
      <c r="B94" s="1">
        <v>45195</v>
      </c>
      <c r="C94" t="s">
        <v>9</v>
      </c>
      <c r="D94">
        <v>1</v>
      </c>
      <c r="E94">
        <v>65</v>
      </c>
      <c r="F94">
        <v>12</v>
      </c>
      <c r="G94">
        <v>780</v>
      </c>
      <c r="H94">
        <v>91</v>
      </c>
      <c r="I94" t="s">
        <v>21</v>
      </c>
      <c r="J94" t="s">
        <v>37</v>
      </c>
    </row>
    <row r="95" spans="1:10" x14ac:dyDescent="0.25">
      <c r="A95" t="s">
        <v>98</v>
      </c>
      <c r="B95" s="1">
        <v>45195</v>
      </c>
      <c r="C95" t="s">
        <v>9</v>
      </c>
      <c r="D95">
        <v>2</v>
      </c>
      <c r="E95">
        <v>80</v>
      </c>
      <c r="F95">
        <v>12</v>
      </c>
      <c r="G95">
        <v>960</v>
      </c>
      <c r="H95">
        <v>112</v>
      </c>
      <c r="I95" t="s">
        <v>21</v>
      </c>
      <c r="J95" t="s">
        <v>37</v>
      </c>
    </row>
    <row r="96" spans="1:10" x14ac:dyDescent="0.25">
      <c r="A96" t="s">
        <v>98</v>
      </c>
      <c r="B96" s="1">
        <v>45195</v>
      </c>
      <c r="C96" t="s">
        <v>9</v>
      </c>
      <c r="D96">
        <v>3</v>
      </c>
      <c r="E96">
        <v>95</v>
      </c>
      <c r="F96">
        <v>11</v>
      </c>
      <c r="G96">
        <v>1045</v>
      </c>
      <c r="H96">
        <v>129.83000000000001</v>
      </c>
      <c r="I96" t="s">
        <v>21</v>
      </c>
      <c r="J96" t="s">
        <v>37</v>
      </c>
    </row>
    <row r="97" spans="1:10" x14ac:dyDescent="0.25">
      <c r="A97" t="s">
        <v>98</v>
      </c>
      <c r="B97" s="1">
        <v>45195</v>
      </c>
      <c r="C97" t="s">
        <v>10</v>
      </c>
      <c r="D97">
        <v>1</v>
      </c>
      <c r="E97">
        <v>50</v>
      </c>
      <c r="F97">
        <v>15</v>
      </c>
      <c r="G97">
        <v>750</v>
      </c>
      <c r="H97">
        <v>75</v>
      </c>
      <c r="I97" t="s">
        <v>21</v>
      </c>
      <c r="J97" t="s">
        <v>38</v>
      </c>
    </row>
    <row r="98" spans="1:10" x14ac:dyDescent="0.25">
      <c r="A98" t="s">
        <v>98</v>
      </c>
      <c r="B98" s="1">
        <v>45195</v>
      </c>
      <c r="C98" t="s">
        <v>10</v>
      </c>
      <c r="D98">
        <v>2</v>
      </c>
      <c r="E98">
        <v>55</v>
      </c>
      <c r="F98">
        <v>12</v>
      </c>
      <c r="G98">
        <v>660</v>
      </c>
      <c r="H98">
        <v>77</v>
      </c>
      <c r="I98" t="s">
        <v>21</v>
      </c>
      <c r="J98" t="s">
        <v>38</v>
      </c>
    </row>
    <row r="99" spans="1:10" x14ac:dyDescent="0.25">
      <c r="A99" t="s">
        <v>98</v>
      </c>
      <c r="B99" s="1">
        <v>45195</v>
      </c>
      <c r="C99" t="s">
        <v>10</v>
      </c>
      <c r="D99">
        <v>3</v>
      </c>
      <c r="E99">
        <v>50</v>
      </c>
      <c r="F99">
        <v>12</v>
      </c>
      <c r="G99">
        <v>600</v>
      </c>
      <c r="H99">
        <v>70</v>
      </c>
      <c r="I99" t="s">
        <v>21</v>
      </c>
      <c r="J99" t="s">
        <v>38</v>
      </c>
    </row>
    <row r="100" spans="1:10" x14ac:dyDescent="0.25">
      <c r="A100" t="s">
        <v>98</v>
      </c>
      <c r="B100" s="1">
        <v>45195</v>
      </c>
      <c r="C100" t="s">
        <v>10</v>
      </c>
      <c r="D100">
        <v>4</v>
      </c>
      <c r="E100">
        <v>50</v>
      </c>
      <c r="F100">
        <v>8</v>
      </c>
      <c r="G100">
        <v>400</v>
      </c>
      <c r="H100">
        <v>63.33</v>
      </c>
      <c r="I100" t="s">
        <v>21</v>
      </c>
      <c r="J100" t="s">
        <v>38</v>
      </c>
    </row>
    <row r="101" spans="1:10" x14ac:dyDescent="0.25">
      <c r="A101" t="s">
        <v>98</v>
      </c>
      <c r="B101" s="1">
        <v>45195</v>
      </c>
      <c r="C101" t="s">
        <v>16</v>
      </c>
      <c r="D101">
        <v>1</v>
      </c>
      <c r="E101">
        <v>50</v>
      </c>
      <c r="F101">
        <v>10</v>
      </c>
      <c r="G101">
        <v>500</v>
      </c>
      <c r="H101">
        <v>66.67</v>
      </c>
      <c r="I101" t="s">
        <v>21</v>
      </c>
      <c r="J101" t="s">
        <v>38</v>
      </c>
    </row>
    <row r="102" spans="1:10" x14ac:dyDescent="0.25">
      <c r="A102" t="s">
        <v>99</v>
      </c>
      <c r="B102" s="1">
        <v>45196</v>
      </c>
      <c r="C102" t="s">
        <v>15</v>
      </c>
      <c r="D102">
        <v>1</v>
      </c>
      <c r="E102">
        <v>95</v>
      </c>
      <c r="F102">
        <v>10</v>
      </c>
      <c r="G102">
        <v>950</v>
      </c>
      <c r="H102">
        <v>126.67</v>
      </c>
      <c r="I102" t="s">
        <v>22</v>
      </c>
      <c r="J102" t="s">
        <v>38</v>
      </c>
    </row>
    <row r="103" spans="1:10" x14ac:dyDescent="0.25">
      <c r="A103" t="s">
        <v>99</v>
      </c>
      <c r="B103" s="1">
        <v>45196</v>
      </c>
      <c r="C103" t="s">
        <v>15</v>
      </c>
      <c r="D103">
        <v>2</v>
      </c>
      <c r="E103">
        <v>115</v>
      </c>
      <c r="F103">
        <v>10</v>
      </c>
      <c r="G103">
        <v>1150</v>
      </c>
      <c r="H103">
        <v>153.33000000000001</v>
      </c>
      <c r="I103" t="s">
        <v>22</v>
      </c>
      <c r="J103" t="s">
        <v>38</v>
      </c>
    </row>
    <row r="104" spans="1:10" x14ac:dyDescent="0.25">
      <c r="A104" t="s">
        <v>99</v>
      </c>
      <c r="B104" s="1">
        <v>45196</v>
      </c>
      <c r="C104" t="s">
        <v>15</v>
      </c>
      <c r="D104">
        <v>3</v>
      </c>
      <c r="E104">
        <v>115</v>
      </c>
      <c r="F104">
        <v>10</v>
      </c>
      <c r="G104">
        <v>1150</v>
      </c>
      <c r="H104">
        <v>153.33000000000001</v>
      </c>
      <c r="I104" t="s">
        <v>22</v>
      </c>
      <c r="J104" t="s">
        <v>38</v>
      </c>
    </row>
    <row r="105" spans="1:10" x14ac:dyDescent="0.25">
      <c r="A105" t="s">
        <v>99</v>
      </c>
      <c r="B105" s="1">
        <v>45196</v>
      </c>
      <c r="C105" t="s">
        <v>17</v>
      </c>
      <c r="D105">
        <v>1</v>
      </c>
      <c r="E105">
        <v>45</v>
      </c>
      <c r="F105">
        <v>10</v>
      </c>
      <c r="G105">
        <v>450</v>
      </c>
      <c r="H105">
        <v>60</v>
      </c>
      <c r="I105" t="s">
        <v>22</v>
      </c>
      <c r="J105" t="s">
        <v>37</v>
      </c>
    </row>
    <row r="106" spans="1:10" x14ac:dyDescent="0.25">
      <c r="A106" t="s">
        <v>99</v>
      </c>
      <c r="B106" s="1">
        <v>45196</v>
      </c>
      <c r="C106" t="s">
        <v>17</v>
      </c>
      <c r="D106">
        <v>2</v>
      </c>
      <c r="E106">
        <v>55</v>
      </c>
      <c r="F106">
        <v>10</v>
      </c>
      <c r="G106">
        <v>550</v>
      </c>
      <c r="H106">
        <v>73.33</v>
      </c>
      <c r="I106" t="s">
        <v>22</v>
      </c>
      <c r="J106" t="s">
        <v>37</v>
      </c>
    </row>
    <row r="107" spans="1:10" x14ac:dyDescent="0.25">
      <c r="A107" t="s">
        <v>99</v>
      </c>
      <c r="B107" s="1">
        <v>45196</v>
      </c>
      <c r="C107" t="s">
        <v>17</v>
      </c>
      <c r="D107">
        <v>3</v>
      </c>
      <c r="E107">
        <v>65</v>
      </c>
      <c r="F107">
        <v>10</v>
      </c>
      <c r="G107">
        <v>650</v>
      </c>
      <c r="H107">
        <v>86.67</v>
      </c>
      <c r="I107" t="s">
        <v>22</v>
      </c>
      <c r="J107" t="s">
        <v>37</v>
      </c>
    </row>
    <row r="108" spans="1:10" x14ac:dyDescent="0.25">
      <c r="A108" t="s">
        <v>99</v>
      </c>
      <c r="B108" s="1">
        <v>45196</v>
      </c>
      <c r="C108" t="s">
        <v>11</v>
      </c>
      <c r="D108">
        <v>1</v>
      </c>
      <c r="E108">
        <v>95</v>
      </c>
      <c r="F108">
        <v>10</v>
      </c>
      <c r="G108">
        <v>950</v>
      </c>
      <c r="H108">
        <v>126.67</v>
      </c>
      <c r="I108" t="s">
        <v>22</v>
      </c>
      <c r="J108" t="s">
        <v>37</v>
      </c>
    </row>
    <row r="109" spans="1:10" x14ac:dyDescent="0.25">
      <c r="A109" t="s">
        <v>99</v>
      </c>
      <c r="B109" s="1">
        <v>45196</v>
      </c>
      <c r="C109" t="s">
        <v>11</v>
      </c>
      <c r="D109">
        <v>2</v>
      </c>
      <c r="E109">
        <v>115</v>
      </c>
      <c r="F109">
        <v>10</v>
      </c>
      <c r="G109">
        <v>1150</v>
      </c>
      <c r="H109">
        <v>153.33000000000001</v>
      </c>
      <c r="I109" t="s">
        <v>22</v>
      </c>
      <c r="J109" t="s">
        <v>37</v>
      </c>
    </row>
    <row r="110" spans="1:10" x14ac:dyDescent="0.25">
      <c r="A110" t="s">
        <v>99</v>
      </c>
      <c r="B110" s="1">
        <v>45196</v>
      </c>
      <c r="C110" t="s">
        <v>11</v>
      </c>
      <c r="D110">
        <v>3</v>
      </c>
      <c r="E110">
        <v>115</v>
      </c>
      <c r="F110">
        <v>10</v>
      </c>
      <c r="G110">
        <v>1150</v>
      </c>
      <c r="H110">
        <v>153.33000000000001</v>
      </c>
      <c r="I110" t="s">
        <v>22</v>
      </c>
      <c r="J110" t="s">
        <v>37</v>
      </c>
    </row>
    <row r="111" spans="1:10" x14ac:dyDescent="0.25">
      <c r="A111" t="s">
        <v>100</v>
      </c>
      <c r="B111" s="1">
        <v>45197</v>
      </c>
      <c r="C111" t="s">
        <v>12</v>
      </c>
      <c r="D111">
        <v>1</v>
      </c>
      <c r="E111">
        <v>45</v>
      </c>
      <c r="F111">
        <v>12</v>
      </c>
      <c r="G111">
        <v>540</v>
      </c>
      <c r="H111">
        <v>63</v>
      </c>
      <c r="I111" t="s">
        <v>23</v>
      </c>
      <c r="J111" t="s">
        <v>37</v>
      </c>
    </row>
    <row r="112" spans="1:10" x14ac:dyDescent="0.25">
      <c r="A112" t="s">
        <v>100</v>
      </c>
      <c r="B112" s="1">
        <v>45197</v>
      </c>
      <c r="C112" t="s">
        <v>12</v>
      </c>
      <c r="D112">
        <v>2</v>
      </c>
      <c r="E112">
        <v>75</v>
      </c>
      <c r="F112">
        <v>12</v>
      </c>
      <c r="G112">
        <v>900</v>
      </c>
      <c r="H112">
        <v>105</v>
      </c>
      <c r="I112" t="s">
        <v>23</v>
      </c>
      <c r="J112" t="s">
        <v>37</v>
      </c>
    </row>
    <row r="113" spans="1:10" x14ac:dyDescent="0.25">
      <c r="A113" t="s">
        <v>100</v>
      </c>
      <c r="B113" s="1">
        <v>45197</v>
      </c>
      <c r="C113" t="s">
        <v>12</v>
      </c>
      <c r="D113">
        <v>3</v>
      </c>
      <c r="E113">
        <v>95</v>
      </c>
      <c r="F113">
        <v>10</v>
      </c>
      <c r="G113">
        <v>950</v>
      </c>
      <c r="H113">
        <v>126.67</v>
      </c>
      <c r="I113" t="s">
        <v>23</v>
      </c>
      <c r="J113" t="s">
        <v>37</v>
      </c>
    </row>
    <row r="114" spans="1:10" x14ac:dyDescent="0.25">
      <c r="A114" t="s">
        <v>100</v>
      </c>
      <c r="B114" s="1">
        <v>45197</v>
      </c>
      <c r="C114" t="s">
        <v>12</v>
      </c>
      <c r="D114">
        <v>4</v>
      </c>
      <c r="E114">
        <v>105</v>
      </c>
      <c r="F114">
        <v>10</v>
      </c>
      <c r="G114">
        <v>1050</v>
      </c>
      <c r="H114">
        <v>140</v>
      </c>
      <c r="I114" t="s">
        <v>23</v>
      </c>
      <c r="J114" t="s">
        <v>37</v>
      </c>
    </row>
    <row r="115" spans="1:10" x14ac:dyDescent="0.25">
      <c r="A115" t="s">
        <v>100</v>
      </c>
      <c r="B115" s="1">
        <v>45197</v>
      </c>
      <c r="C115" t="s">
        <v>12</v>
      </c>
      <c r="D115">
        <v>5</v>
      </c>
      <c r="E115">
        <v>105</v>
      </c>
      <c r="F115">
        <v>10</v>
      </c>
      <c r="G115">
        <v>1050</v>
      </c>
      <c r="H115">
        <v>140</v>
      </c>
      <c r="I115" t="s">
        <v>23</v>
      </c>
      <c r="J115" t="s">
        <v>37</v>
      </c>
    </row>
    <row r="116" spans="1:10" x14ac:dyDescent="0.25">
      <c r="A116" t="s">
        <v>100</v>
      </c>
      <c r="B116" s="1">
        <v>45197</v>
      </c>
      <c r="C116" t="s">
        <v>13</v>
      </c>
      <c r="D116">
        <v>1</v>
      </c>
      <c r="E116">
        <v>45</v>
      </c>
      <c r="F116">
        <v>15</v>
      </c>
      <c r="G116">
        <v>675</v>
      </c>
      <c r="H116">
        <v>67.5</v>
      </c>
      <c r="I116" t="s">
        <v>23</v>
      </c>
      <c r="J116" t="s">
        <v>38</v>
      </c>
    </row>
    <row r="117" spans="1:10" x14ac:dyDescent="0.25">
      <c r="A117" t="s">
        <v>100</v>
      </c>
      <c r="B117" s="1">
        <v>45197</v>
      </c>
      <c r="C117" t="s">
        <v>13</v>
      </c>
      <c r="D117">
        <v>2</v>
      </c>
      <c r="E117">
        <v>50</v>
      </c>
      <c r="F117">
        <v>14</v>
      </c>
      <c r="G117">
        <v>700</v>
      </c>
      <c r="H117">
        <v>73.33</v>
      </c>
      <c r="I117" t="s">
        <v>23</v>
      </c>
      <c r="J117" t="s">
        <v>38</v>
      </c>
    </row>
    <row r="118" spans="1:10" x14ac:dyDescent="0.25">
      <c r="A118" t="s">
        <v>100</v>
      </c>
      <c r="B118" s="1">
        <v>45197</v>
      </c>
      <c r="C118" t="s">
        <v>13</v>
      </c>
      <c r="D118">
        <v>3</v>
      </c>
      <c r="E118">
        <v>45</v>
      </c>
      <c r="F118">
        <v>14</v>
      </c>
      <c r="G118">
        <v>630</v>
      </c>
      <c r="H118">
        <v>66</v>
      </c>
      <c r="I118" t="s">
        <v>23</v>
      </c>
      <c r="J118" t="s">
        <v>38</v>
      </c>
    </row>
    <row r="119" spans="1:10" x14ac:dyDescent="0.25">
      <c r="A119" t="s">
        <v>100</v>
      </c>
      <c r="B119" s="1">
        <v>45197</v>
      </c>
      <c r="C119" t="s">
        <v>14</v>
      </c>
      <c r="D119">
        <v>1</v>
      </c>
      <c r="E119">
        <v>55</v>
      </c>
      <c r="F119">
        <v>12</v>
      </c>
      <c r="G119">
        <v>660</v>
      </c>
      <c r="H119">
        <v>77</v>
      </c>
      <c r="I119" t="s">
        <v>23</v>
      </c>
      <c r="J119" t="s">
        <v>37</v>
      </c>
    </row>
    <row r="120" spans="1:10" x14ac:dyDescent="0.25">
      <c r="A120" t="s">
        <v>100</v>
      </c>
      <c r="B120" s="1">
        <v>45197</v>
      </c>
      <c r="C120" t="s">
        <v>14</v>
      </c>
      <c r="D120">
        <v>2</v>
      </c>
      <c r="E120">
        <v>60</v>
      </c>
      <c r="F120">
        <v>8</v>
      </c>
      <c r="G120">
        <v>480</v>
      </c>
      <c r="H120">
        <v>76</v>
      </c>
      <c r="I120" t="s">
        <v>23</v>
      </c>
      <c r="J120" t="s">
        <v>37</v>
      </c>
    </row>
    <row r="121" spans="1:10" x14ac:dyDescent="0.25">
      <c r="A121" t="s">
        <v>100</v>
      </c>
      <c r="B121" s="1">
        <v>45197</v>
      </c>
      <c r="C121" t="s">
        <v>14</v>
      </c>
      <c r="D121">
        <v>3</v>
      </c>
      <c r="E121">
        <v>60</v>
      </c>
      <c r="F121">
        <v>8</v>
      </c>
      <c r="G121">
        <v>480</v>
      </c>
      <c r="H121">
        <v>76</v>
      </c>
      <c r="I121" t="s">
        <v>23</v>
      </c>
      <c r="J121" t="s">
        <v>37</v>
      </c>
    </row>
    <row r="122" spans="1:10" x14ac:dyDescent="0.25">
      <c r="A122" t="s">
        <v>100</v>
      </c>
      <c r="B122" s="1">
        <v>45197</v>
      </c>
      <c r="C122" t="s">
        <v>14</v>
      </c>
      <c r="D122">
        <v>4</v>
      </c>
      <c r="E122">
        <v>60</v>
      </c>
      <c r="F122">
        <v>5</v>
      </c>
      <c r="G122">
        <v>300</v>
      </c>
      <c r="H122">
        <v>70</v>
      </c>
      <c r="I122" t="s">
        <v>23</v>
      </c>
      <c r="J122" t="s">
        <v>37</v>
      </c>
    </row>
    <row r="123" spans="1:10" x14ac:dyDescent="0.25">
      <c r="A123" t="s">
        <v>100</v>
      </c>
      <c r="B123" s="1">
        <v>45197</v>
      </c>
      <c r="C123" t="s">
        <v>45</v>
      </c>
      <c r="D123">
        <v>1</v>
      </c>
      <c r="E123">
        <v>2</v>
      </c>
      <c r="F123">
        <v>20</v>
      </c>
      <c r="G123">
        <v>40</v>
      </c>
      <c r="H123">
        <v>3.33</v>
      </c>
      <c r="I123" t="s">
        <v>23</v>
      </c>
      <c r="J123" t="s">
        <v>38</v>
      </c>
    </row>
    <row r="124" spans="1:10" x14ac:dyDescent="0.25">
      <c r="A124" t="s">
        <v>100</v>
      </c>
      <c r="B124" s="1">
        <v>45197</v>
      </c>
      <c r="C124" t="s">
        <v>45</v>
      </c>
      <c r="D124">
        <v>2</v>
      </c>
      <c r="E124">
        <v>5</v>
      </c>
      <c r="F124">
        <v>20</v>
      </c>
      <c r="G124">
        <v>100</v>
      </c>
      <c r="H124">
        <v>8.33</v>
      </c>
      <c r="I124" t="s">
        <v>23</v>
      </c>
      <c r="J124" t="s">
        <v>38</v>
      </c>
    </row>
    <row r="125" spans="1:10" x14ac:dyDescent="0.25">
      <c r="A125" t="s">
        <v>100</v>
      </c>
      <c r="B125" s="1">
        <v>45197</v>
      </c>
      <c r="C125" t="s">
        <v>45</v>
      </c>
      <c r="D125">
        <v>3</v>
      </c>
      <c r="E125">
        <v>10</v>
      </c>
      <c r="F125">
        <v>10</v>
      </c>
      <c r="G125">
        <v>100</v>
      </c>
      <c r="H125">
        <v>13.33</v>
      </c>
      <c r="I125" t="s">
        <v>23</v>
      </c>
      <c r="J125" t="s">
        <v>38</v>
      </c>
    </row>
    <row r="126" spans="1:10" x14ac:dyDescent="0.25">
      <c r="A126" t="s">
        <v>100</v>
      </c>
      <c r="B126" s="1">
        <v>45197</v>
      </c>
      <c r="C126" t="s">
        <v>45</v>
      </c>
      <c r="D126">
        <v>4</v>
      </c>
      <c r="E126">
        <v>5</v>
      </c>
      <c r="F126">
        <v>20</v>
      </c>
      <c r="G126">
        <v>100</v>
      </c>
      <c r="H126">
        <v>8.33</v>
      </c>
      <c r="I126" t="s">
        <v>23</v>
      </c>
      <c r="J126" t="s">
        <v>38</v>
      </c>
    </row>
    <row r="127" spans="1:10" x14ac:dyDescent="0.25">
      <c r="A127" t="s">
        <v>101</v>
      </c>
      <c r="B127" s="1">
        <v>45198</v>
      </c>
      <c r="C127" t="s">
        <v>9</v>
      </c>
      <c r="D127">
        <v>1</v>
      </c>
      <c r="E127">
        <v>70</v>
      </c>
      <c r="F127">
        <v>15</v>
      </c>
      <c r="G127">
        <v>1050</v>
      </c>
      <c r="H127">
        <v>105</v>
      </c>
      <c r="I127" t="s">
        <v>21</v>
      </c>
      <c r="J127" t="s">
        <v>37</v>
      </c>
    </row>
    <row r="128" spans="1:10" x14ac:dyDescent="0.25">
      <c r="A128" t="s">
        <v>101</v>
      </c>
      <c r="B128" s="1">
        <v>45198</v>
      </c>
      <c r="C128" t="s">
        <v>9</v>
      </c>
      <c r="D128">
        <v>2</v>
      </c>
      <c r="E128">
        <v>80</v>
      </c>
      <c r="F128">
        <v>13</v>
      </c>
      <c r="G128">
        <v>1040</v>
      </c>
      <c r="H128">
        <v>114.67</v>
      </c>
      <c r="I128" t="s">
        <v>21</v>
      </c>
      <c r="J128" t="s">
        <v>37</v>
      </c>
    </row>
    <row r="129" spans="1:10" x14ac:dyDescent="0.25">
      <c r="A129" t="s">
        <v>101</v>
      </c>
      <c r="B129" s="1">
        <v>45198</v>
      </c>
      <c r="C129" t="s">
        <v>9</v>
      </c>
      <c r="D129">
        <v>3</v>
      </c>
      <c r="E129">
        <v>95</v>
      </c>
      <c r="F129">
        <v>12</v>
      </c>
      <c r="G129">
        <v>1140</v>
      </c>
      <c r="H129">
        <v>133</v>
      </c>
      <c r="I129" t="s">
        <v>21</v>
      </c>
      <c r="J129" t="s">
        <v>37</v>
      </c>
    </row>
    <row r="130" spans="1:10" x14ac:dyDescent="0.25">
      <c r="A130" t="s">
        <v>101</v>
      </c>
      <c r="B130" s="1">
        <v>45198</v>
      </c>
      <c r="C130" t="s">
        <v>10</v>
      </c>
      <c r="D130">
        <v>1</v>
      </c>
      <c r="E130">
        <v>55</v>
      </c>
      <c r="F130">
        <v>15</v>
      </c>
      <c r="G130">
        <v>825</v>
      </c>
      <c r="H130">
        <v>82.5</v>
      </c>
      <c r="I130" t="s">
        <v>21</v>
      </c>
      <c r="J130" t="s">
        <v>38</v>
      </c>
    </row>
    <row r="131" spans="1:10" x14ac:dyDescent="0.25">
      <c r="A131" t="s">
        <v>101</v>
      </c>
      <c r="B131" s="1">
        <v>45198</v>
      </c>
      <c r="C131" t="s">
        <v>10</v>
      </c>
      <c r="D131">
        <v>2</v>
      </c>
      <c r="E131">
        <v>55</v>
      </c>
      <c r="F131">
        <v>9</v>
      </c>
      <c r="G131">
        <v>495</v>
      </c>
      <c r="H131">
        <v>71.5</v>
      </c>
      <c r="I131" t="s">
        <v>21</v>
      </c>
      <c r="J131" t="s">
        <v>38</v>
      </c>
    </row>
    <row r="132" spans="1:10" x14ac:dyDescent="0.25">
      <c r="A132" t="s">
        <v>101</v>
      </c>
      <c r="B132" s="1">
        <v>45198</v>
      </c>
      <c r="C132" t="s">
        <v>10</v>
      </c>
      <c r="D132">
        <v>3</v>
      </c>
      <c r="E132">
        <v>50</v>
      </c>
      <c r="F132">
        <v>12</v>
      </c>
      <c r="G132">
        <v>600</v>
      </c>
      <c r="H132">
        <v>70</v>
      </c>
      <c r="I132" t="s">
        <v>21</v>
      </c>
      <c r="J132" t="s">
        <v>38</v>
      </c>
    </row>
    <row r="133" spans="1:10" x14ac:dyDescent="0.25">
      <c r="A133" t="s">
        <v>101</v>
      </c>
      <c r="B133" s="1">
        <v>45198</v>
      </c>
      <c r="C133" t="s">
        <v>10</v>
      </c>
      <c r="D133">
        <v>4</v>
      </c>
      <c r="E133">
        <v>50</v>
      </c>
      <c r="F133">
        <v>10</v>
      </c>
      <c r="G133">
        <v>500</v>
      </c>
      <c r="H133">
        <v>66.67</v>
      </c>
      <c r="I133" t="s">
        <v>21</v>
      </c>
      <c r="J133" t="s">
        <v>38</v>
      </c>
    </row>
    <row r="134" spans="1:10" x14ac:dyDescent="0.25">
      <c r="A134" t="s">
        <v>102</v>
      </c>
      <c r="B134" s="1">
        <v>45200</v>
      </c>
      <c r="C134" t="s">
        <v>15</v>
      </c>
      <c r="D134">
        <v>1</v>
      </c>
      <c r="E134">
        <v>95</v>
      </c>
      <c r="F134">
        <v>10</v>
      </c>
      <c r="G134">
        <v>950</v>
      </c>
      <c r="H134">
        <v>126.67</v>
      </c>
      <c r="I134" t="s">
        <v>22</v>
      </c>
      <c r="J134" t="s">
        <v>38</v>
      </c>
    </row>
    <row r="135" spans="1:10" x14ac:dyDescent="0.25">
      <c r="A135" t="s">
        <v>102</v>
      </c>
      <c r="B135" s="1">
        <v>45200</v>
      </c>
      <c r="C135" t="s">
        <v>15</v>
      </c>
      <c r="D135">
        <v>2</v>
      </c>
      <c r="E135">
        <v>115</v>
      </c>
      <c r="F135">
        <v>12</v>
      </c>
      <c r="G135">
        <v>1380</v>
      </c>
      <c r="H135">
        <v>161</v>
      </c>
      <c r="I135" t="s">
        <v>22</v>
      </c>
      <c r="J135" t="s">
        <v>38</v>
      </c>
    </row>
    <row r="136" spans="1:10" x14ac:dyDescent="0.25">
      <c r="A136" t="s">
        <v>102</v>
      </c>
      <c r="B136" s="1">
        <v>45200</v>
      </c>
      <c r="C136" t="s">
        <v>15</v>
      </c>
      <c r="D136">
        <v>3</v>
      </c>
      <c r="E136">
        <v>125</v>
      </c>
      <c r="F136">
        <v>10</v>
      </c>
      <c r="G136">
        <v>1250</v>
      </c>
      <c r="H136">
        <v>166.67</v>
      </c>
      <c r="I136" t="s">
        <v>22</v>
      </c>
      <c r="J136" t="s">
        <v>38</v>
      </c>
    </row>
    <row r="137" spans="1:10" x14ac:dyDescent="0.25">
      <c r="A137" t="s">
        <v>102</v>
      </c>
      <c r="B137" s="1">
        <v>45200</v>
      </c>
      <c r="C137" t="s">
        <v>17</v>
      </c>
      <c r="D137">
        <v>1</v>
      </c>
      <c r="E137">
        <v>45</v>
      </c>
      <c r="F137">
        <v>12</v>
      </c>
      <c r="G137">
        <v>540</v>
      </c>
      <c r="H137">
        <v>63</v>
      </c>
      <c r="I137" t="s">
        <v>22</v>
      </c>
      <c r="J137" t="s">
        <v>37</v>
      </c>
    </row>
    <row r="138" spans="1:10" x14ac:dyDescent="0.25">
      <c r="A138" t="s">
        <v>102</v>
      </c>
      <c r="B138" s="1">
        <v>45200</v>
      </c>
      <c r="C138" t="s">
        <v>17</v>
      </c>
      <c r="D138">
        <v>2</v>
      </c>
      <c r="E138">
        <v>65</v>
      </c>
      <c r="F138">
        <v>12</v>
      </c>
      <c r="G138">
        <v>780</v>
      </c>
      <c r="H138">
        <v>91</v>
      </c>
      <c r="I138" t="s">
        <v>22</v>
      </c>
      <c r="J138" t="s">
        <v>37</v>
      </c>
    </row>
    <row r="139" spans="1:10" x14ac:dyDescent="0.25">
      <c r="A139" t="s">
        <v>102</v>
      </c>
      <c r="B139" s="1">
        <v>45200</v>
      </c>
      <c r="C139" t="s">
        <v>17</v>
      </c>
      <c r="D139">
        <v>3</v>
      </c>
      <c r="E139">
        <v>65</v>
      </c>
      <c r="F139">
        <v>12</v>
      </c>
      <c r="G139">
        <v>780</v>
      </c>
      <c r="H139">
        <v>91</v>
      </c>
      <c r="I139" t="s">
        <v>22</v>
      </c>
      <c r="J139" t="s">
        <v>37</v>
      </c>
    </row>
    <row r="140" spans="1:10" x14ac:dyDescent="0.25">
      <c r="A140" t="s">
        <v>102</v>
      </c>
      <c r="B140" s="1">
        <v>45200</v>
      </c>
      <c r="C140" t="s">
        <v>11</v>
      </c>
      <c r="D140">
        <v>1</v>
      </c>
      <c r="E140">
        <v>95</v>
      </c>
      <c r="F140">
        <v>10</v>
      </c>
      <c r="G140">
        <v>950</v>
      </c>
      <c r="H140">
        <v>126.67</v>
      </c>
      <c r="I140" t="s">
        <v>22</v>
      </c>
      <c r="J140" t="s">
        <v>37</v>
      </c>
    </row>
    <row r="141" spans="1:10" x14ac:dyDescent="0.25">
      <c r="A141" t="s">
        <v>102</v>
      </c>
      <c r="B141" s="1">
        <v>45200</v>
      </c>
      <c r="C141" t="s">
        <v>11</v>
      </c>
      <c r="D141">
        <v>2</v>
      </c>
      <c r="E141">
        <v>125</v>
      </c>
      <c r="F141">
        <v>10</v>
      </c>
      <c r="G141">
        <v>1250</v>
      </c>
      <c r="H141">
        <v>166.67</v>
      </c>
      <c r="I141" t="s">
        <v>22</v>
      </c>
      <c r="J141" t="s">
        <v>37</v>
      </c>
    </row>
    <row r="142" spans="1:10" x14ac:dyDescent="0.25">
      <c r="A142" t="s">
        <v>102</v>
      </c>
      <c r="B142" s="1">
        <v>45200</v>
      </c>
      <c r="C142" t="s">
        <v>11</v>
      </c>
      <c r="D142">
        <v>3</v>
      </c>
      <c r="E142">
        <v>125</v>
      </c>
      <c r="F142">
        <v>10</v>
      </c>
      <c r="G142">
        <v>1250</v>
      </c>
      <c r="H142">
        <v>166.67</v>
      </c>
      <c r="I142" t="s">
        <v>22</v>
      </c>
      <c r="J142" t="s">
        <v>37</v>
      </c>
    </row>
    <row r="143" spans="1:10" x14ac:dyDescent="0.25">
      <c r="A143" t="s">
        <v>103</v>
      </c>
      <c r="B143" s="1">
        <v>45201</v>
      </c>
      <c r="C143" t="s">
        <v>12</v>
      </c>
      <c r="D143">
        <v>1</v>
      </c>
      <c r="E143">
        <v>95</v>
      </c>
      <c r="F143">
        <v>10</v>
      </c>
      <c r="G143">
        <v>950</v>
      </c>
      <c r="H143">
        <v>126.67</v>
      </c>
      <c r="I143" t="s">
        <v>23</v>
      </c>
      <c r="J143" t="s">
        <v>37</v>
      </c>
    </row>
    <row r="144" spans="1:10" x14ac:dyDescent="0.25">
      <c r="A144" t="s">
        <v>103</v>
      </c>
      <c r="B144" s="1">
        <v>45201</v>
      </c>
      <c r="C144" t="s">
        <v>12</v>
      </c>
      <c r="D144">
        <v>2</v>
      </c>
      <c r="E144">
        <v>95</v>
      </c>
      <c r="F144">
        <v>10</v>
      </c>
      <c r="G144">
        <v>950</v>
      </c>
      <c r="H144">
        <v>126.67</v>
      </c>
      <c r="I144" t="s">
        <v>23</v>
      </c>
      <c r="J144" t="s">
        <v>37</v>
      </c>
    </row>
    <row r="145" spans="1:10" x14ac:dyDescent="0.25">
      <c r="A145" t="s">
        <v>103</v>
      </c>
      <c r="B145" s="1">
        <v>45201</v>
      </c>
      <c r="C145" t="s">
        <v>12</v>
      </c>
      <c r="D145">
        <v>3</v>
      </c>
      <c r="E145">
        <v>105</v>
      </c>
      <c r="F145">
        <v>8</v>
      </c>
      <c r="G145">
        <v>840</v>
      </c>
      <c r="H145">
        <v>133</v>
      </c>
      <c r="I145" t="s">
        <v>23</v>
      </c>
      <c r="J145" t="s">
        <v>37</v>
      </c>
    </row>
    <row r="146" spans="1:10" x14ac:dyDescent="0.25">
      <c r="A146" t="s">
        <v>103</v>
      </c>
      <c r="B146" s="1">
        <v>45201</v>
      </c>
      <c r="C146" t="s">
        <v>18</v>
      </c>
      <c r="D146">
        <v>1</v>
      </c>
      <c r="E146">
        <v>45</v>
      </c>
      <c r="F146">
        <v>15</v>
      </c>
      <c r="G146">
        <v>675</v>
      </c>
      <c r="H146">
        <v>67.5</v>
      </c>
      <c r="I146" t="s">
        <v>23</v>
      </c>
      <c r="J146" t="s">
        <v>38</v>
      </c>
    </row>
    <row r="147" spans="1:10" x14ac:dyDescent="0.25">
      <c r="A147" t="s">
        <v>103</v>
      </c>
      <c r="B147" s="1">
        <v>45201</v>
      </c>
      <c r="C147" t="s">
        <v>18</v>
      </c>
      <c r="D147">
        <v>2</v>
      </c>
      <c r="E147">
        <v>65</v>
      </c>
      <c r="F147">
        <v>12</v>
      </c>
      <c r="G147">
        <v>780</v>
      </c>
      <c r="H147">
        <v>91</v>
      </c>
      <c r="I147" t="s">
        <v>23</v>
      </c>
      <c r="J147" t="s">
        <v>38</v>
      </c>
    </row>
    <row r="148" spans="1:10" x14ac:dyDescent="0.25">
      <c r="A148" t="s">
        <v>103</v>
      </c>
      <c r="B148" s="1">
        <v>45201</v>
      </c>
      <c r="C148" t="s">
        <v>18</v>
      </c>
      <c r="D148">
        <v>3</v>
      </c>
      <c r="E148">
        <v>75</v>
      </c>
      <c r="F148">
        <v>12</v>
      </c>
      <c r="G148">
        <v>900</v>
      </c>
      <c r="H148">
        <v>105</v>
      </c>
      <c r="I148" t="s">
        <v>23</v>
      </c>
      <c r="J148" t="s">
        <v>38</v>
      </c>
    </row>
    <row r="149" spans="1:10" x14ac:dyDescent="0.25">
      <c r="A149" t="s">
        <v>103</v>
      </c>
      <c r="B149" s="1">
        <v>45201</v>
      </c>
      <c r="C149" t="s">
        <v>13</v>
      </c>
      <c r="D149">
        <v>1</v>
      </c>
      <c r="E149">
        <v>45</v>
      </c>
      <c r="F149">
        <v>15</v>
      </c>
      <c r="G149">
        <v>675</v>
      </c>
      <c r="H149">
        <v>67.5</v>
      </c>
      <c r="I149" t="s">
        <v>23</v>
      </c>
      <c r="J149" t="s">
        <v>38</v>
      </c>
    </row>
    <row r="150" spans="1:10" x14ac:dyDescent="0.25">
      <c r="A150" t="s">
        <v>103</v>
      </c>
      <c r="B150" s="1">
        <v>45201</v>
      </c>
      <c r="C150" t="s">
        <v>13</v>
      </c>
      <c r="D150">
        <v>2</v>
      </c>
      <c r="E150">
        <v>50</v>
      </c>
      <c r="F150">
        <v>13</v>
      </c>
      <c r="G150">
        <v>650</v>
      </c>
      <c r="H150">
        <v>71.67</v>
      </c>
      <c r="I150" t="s">
        <v>23</v>
      </c>
      <c r="J150" t="s">
        <v>38</v>
      </c>
    </row>
    <row r="151" spans="1:10" x14ac:dyDescent="0.25">
      <c r="A151" t="s">
        <v>103</v>
      </c>
      <c r="B151" s="1">
        <v>45201</v>
      </c>
      <c r="C151" t="s">
        <v>13</v>
      </c>
      <c r="D151">
        <v>3</v>
      </c>
      <c r="E151">
        <v>55</v>
      </c>
      <c r="F151">
        <v>7</v>
      </c>
      <c r="G151">
        <v>385</v>
      </c>
      <c r="H151">
        <v>67.83</v>
      </c>
      <c r="I151" t="s">
        <v>23</v>
      </c>
      <c r="J151" t="s">
        <v>38</v>
      </c>
    </row>
    <row r="152" spans="1:10" x14ac:dyDescent="0.25">
      <c r="A152" t="s">
        <v>103</v>
      </c>
      <c r="B152" s="1">
        <v>45201</v>
      </c>
      <c r="C152" t="s">
        <v>14</v>
      </c>
      <c r="D152">
        <v>1</v>
      </c>
      <c r="E152">
        <v>65</v>
      </c>
      <c r="F152">
        <v>10</v>
      </c>
      <c r="G152">
        <v>650</v>
      </c>
      <c r="H152">
        <v>86.67</v>
      </c>
      <c r="I152" t="s">
        <v>23</v>
      </c>
      <c r="J152" t="s">
        <v>37</v>
      </c>
    </row>
    <row r="153" spans="1:10" x14ac:dyDescent="0.25">
      <c r="A153" t="s">
        <v>103</v>
      </c>
      <c r="B153" s="1">
        <v>45201</v>
      </c>
      <c r="C153" t="s">
        <v>14</v>
      </c>
      <c r="D153">
        <v>2</v>
      </c>
      <c r="E153">
        <v>60</v>
      </c>
      <c r="F153">
        <v>10</v>
      </c>
      <c r="G153">
        <v>600</v>
      </c>
      <c r="H153">
        <v>80</v>
      </c>
      <c r="I153" t="s">
        <v>23</v>
      </c>
      <c r="J153" t="s">
        <v>37</v>
      </c>
    </row>
    <row r="154" spans="1:10" x14ac:dyDescent="0.25">
      <c r="A154" t="s">
        <v>103</v>
      </c>
      <c r="B154" s="1">
        <v>45201</v>
      </c>
      <c r="C154" t="s">
        <v>14</v>
      </c>
      <c r="D154">
        <v>3</v>
      </c>
      <c r="E154">
        <v>55</v>
      </c>
      <c r="F154">
        <v>8</v>
      </c>
      <c r="G154">
        <v>440</v>
      </c>
      <c r="H154">
        <v>69.67</v>
      </c>
      <c r="I154" t="s">
        <v>23</v>
      </c>
      <c r="J154" t="s">
        <v>37</v>
      </c>
    </row>
    <row r="155" spans="1:10" x14ac:dyDescent="0.25">
      <c r="A155" t="s">
        <v>103</v>
      </c>
      <c r="B155" s="1">
        <v>45201</v>
      </c>
      <c r="C155" t="s">
        <v>14</v>
      </c>
      <c r="D155">
        <v>4</v>
      </c>
      <c r="E155">
        <v>55</v>
      </c>
      <c r="F155">
        <v>8</v>
      </c>
      <c r="G155">
        <v>440</v>
      </c>
      <c r="H155">
        <v>69.67</v>
      </c>
      <c r="I155" t="s">
        <v>23</v>
      </c>
      <c r="J155" t="s">
        <v>37</v>
      </c>
    </row>
    <row r="156" spans="1:10" x14ac:dyDescent="0.25">
      <c r="A156" t="s">
        <v>103</v>
      </c>
      <c r="B156" s="1">
        <v>45201</v>
      </c>
      <c r="C156" t="s">
        <v>45</v>
      </c>
      <c r="D156">
        <v>1</v>
      </c>
      <c r="E156">
        <v>5</v>
      </c>
      <c r="F156">
        <v>20</v>
      </c>
      <c r="G156">
        <v>100</v>
      </c>
      <c r="H156">
        <v>8.33</v>
      </c>
      <c r="I156" t="s">
        <v>23</v>
      </c>
      <c r="J156" t="s">
        <v>38</v>
      </c>
    </row>
    <row r="157" spans="1:10" x14ac:dyDescent="0.25">
      <c r="A157" t="s">
        <v>103</v>
      </c>
      <c r="B157" s="1">
        <v>45201</v>
      </c>
      <c r="C157" t="s">
        <v>45</v>
      </c>
      <c r="D157">
        <v>2</v>
      </c>
      <c r="E157">
        <v>5</v>
      </c>
      <c r="F157">
        <v>20</v>
      </c>
      <c r="G157">
        <v>100</v>
      </c>
      <c r="H157">
        <v>8.33</v>
      </c>
      <c r="I157" t="s">
        <v>23</v>
      </c>
      <c r="J157" t="s">
        <v>38</v>
      </c>
    </row>
    <row r="158" spans="1:10" x14ac:dyDescent="0.25">
      <c r="A158" t="s">
        <v>103</v>
      </c>
      <c r="B158" s="1">
        <v>45201</v>
      </c>
      <c r="C158" t="s">
        <v>45</v>
      </c>
      <c r="D158">
        <v>3</v>
      </c>
      <c r="E158">
        <v>10</v>
      </c>
      <c r="F158">
        <v>12</v>
      </c>
      <c r="G158">
        <v>120</v>
      </c>
      <c r="H158">
        <v>14</v>
      </c>
      <c r="I158" t="s">
        <v>23</v>
      </c>
      <c r="J158" t="s">
        <v>38</v>
      </c>
    </row>
    <row r="159" spans="1:10" x14ac:dyDescent="0.25">
      <c r="A159" t="s">
        <v>103</v>
      </c>
      <c r="B159" s="1">
        <v>45201</v>
      </c>
      <c r="C159" t="s">
        <v>45</v>
      </c>
      <c r="D159">
        <v>4</v>
      </c>
      <c r="E159">
        <v>5</v>
      </c>
      <c r="F159">
        <v>8</v>
      </c>
      <c r="G159">
        <v>40</v>
      </c>
      <c r="H159">
        <v>6.33</v>
      </c>
      <c r="I159" t="s">
        <v>23</v>
      </c>
      <c r="J159" t="s">
        <v>38</v>
      </c>
    </row>
    <row r="160" spans="1:10" x14ac:dyDescent="0.25">
      <c r="A160" t="s">
        <v>103</v>
      </c>
      <c r="B160" s="1">
        <v>45201</v>
      </c>
      <c r="C160" t="s">
        <v>45</v>
      </c>
      <c r="D160">
        <v>5</v>
      </c>
      <c r="E160">
        <v>5</v>
      </c>
      <c r="F160">
        <v>20</v>
      </c>
      <c r="G160">
        <v>100</v>
      </c>
      <c r="H160">
        <v>8.33</v>
      </c>
      <c r="I160" t="s">
        <v>23</v>
      </c>
      <c r="J160" t="s">
        <v>38</v>
      </c>
    </row>
    <row r="161" spans="1:10" x14ac:dyDescent="0.25">
      <c r="A161" t="s">
        <v>104</v>
      </c>
      <c r="B161" s="1">
        <v>45202</v>
      </c>
      <c r="C161" t="s">
        <v>9</v>
      </c>
      <c r="D161">
        <v>1</v>
      </c>
      <c r="E161">
        <v>80</v>
      </c>
      <c r="F161">
        <v>15</v>
      </c>
      <c r="G161">
        <v>1200</v>
      </c>
      <c r="H161">
        <v>120</v>
      </c>
      <c r="I161" t="s">
        <v>21</v>
      </c>
      <c r="J161" t="s">
        <v>37</v>
      </c>
    </row>
    <row r="162" spans="1:10" x14ac:dyDescent="0.25">
      <c r="A162" t="s">
        <v>104</v>
      </c>
      <c r="B162" s="1">
        <v>45202</v>
      </c>
      <c r="C162" t="s">
        <v>9</v>
      </c>
      <c r="D162">
        <v>2</v>
      </c>
      <c r="E162">
        <v>95</v>
      </c>
      <c r="F162">
        <v>9</v>
      </c>
      <c r="G162">
        <v>855</v>
      </c>
      <c r="H162">
        <v>123.5</v>
      </c>
      <c r="I162" t="s">
        <v>21</v>
      </c>
      <c r="J162" t="s">
        <v>37</v>
      </c>
    </row>
    <row r="163" spans="1:10" x14ac:dyDescent="0.25">
      <c r="A163" t="s">
        <v>104</v>
      </c>
      <c r="B163" s="1">
        <v>45202</v>
      </c>
      <c r="C163" t="s">
        <v>9</v>
      </c>
      <c r="D163">
        <v>3</v>
      </c>
      <c r="E163">
        <v>95</v>
      </c>
      <c r="F163">
        <v>10</v>
      </c>
      <c r="G163">
        <v>950</v>
      </c>
      <c r="H163">
        <v>126.67</v>
      </c>
      <c r="I163" t="s">
        <v>21</v>
      </c>
      <c r="J163" t="s">
        <v>37</v>
      </c>
    </row>
    <row r="164" spans="1:10" x14ac:dyDescent="0.25">
      <c r="A164" t="s">
        <v>104</v>
      </c>
      <c r="B164" s="1">
        <v>45202</v>
      </c>
      <c r="C164" t="s">
        <v>9</v>
      </c>
      <c r="D164">
        <v>4</v>
      </c>
      <c r="E164">
        <v>70</v>
      </c>
      <c r="F164">
        <v>10</v>
      </c>
      <c r="G164">
        <v>700</v>
      </c>
      <c r="H164">
        <v>93.33</v>
      </c>
      <c r="I164" t="s">
        <v>21</v>
      </c>
      <c r="J164" t="s">
        <v>37</v>
      </c>
    </row>
    <row r="165" spans="1:10" x14ac:dyDescent="0.25">
      <c r="A165" t="s">
        <v>104</v>
      </c>
      <c r="B165" s="1">
        <v>45202</v>
      </c>
      <c r="C165" t="s">
        <v>10</v>
      </c>
      <c r="D165">
        <v>1</v>
      </c>
      <c r="E165">
        <v>50</v>
      </c>
      <c r="F165">
        <v>15</v>
      </c>
      <c r="G165">
        <v>750</v>
      </c>
      <c r="H165">
        <v>75</v>
      </c>
      <c r="I165" t="s">
        <v>21</v>
      </c>
      <c r="J165" t="s">
        <v>38</v>
      </c>
    </row>
    <row r="166" spans="1:10" x14ac:dyDescent="0.25">
      <c r="A166" t="s">
        <v>104</v>
      </c>
      <c r="B166" s="1">
        <v>45202</v>
      </c>
      <c r="C166" t="s">
        <v>10</v>
      </c>
      <c r="D166">
        <v>2</v>
      </c>
      <c r="E166">
        <v>55</v>
      </c>
      <c r="F166">
        <v>10</v>
      </c>
      <c r="G166">
        <v>550</v>
      </c>
      <c r="H166">
        <v>73.33</v>
      </c>
      <c r="I166" t="s">
        <v>21</v>
      </c>
      <c r="J166" t="s">
        <v>38</v>
      </c>
    </row>
    <row r="167" spans="1:10" x14ac:dyDescent="0.25">
      <c r="A167" t="s">
        <v>104</v>
      </c>
      <c r="B167" s="1">
        <v>45202</v>
      </c>
      <c r="C167" t="s">
        <v>10</v>
      </c>
      <c r="D167">
        <v>3</v>
      </c>
      <c r="E167">
        <v>55</v>
      </c>
      <c r="F167">
        <v>10</v>
      </c>
      <c r="G167">
        <v>550</v>
      </c>
      <c r="H167">
        <v>73.33</v>
      </c>
      <c r="I167" t="s">
        <v>21</v>
      </c>
      <c r="J167" t="s">
        <v>38</v>
      </c>
    </row>
    <row r="168" spans="1:10" x14ac:dyDescent="0.25">
      <c r="A168" t="s">
        <v>104</v>
      </c>
      <c r="B168" s="1">
        <v>45202</v>
      </c>
      <c r="C168" t="s">
        <v>10</v>
      </c>
      <c r="D168">
        <v>4</v>
      </c>
      <c r="E168">
        <v>55</v>
      </c>
      <c r="F168">
        <v>10</v>
      </c>
      <c r="G168">
        <v>550</v>
      </c>
      <c r="H168">
        <v>73.33</v>
      </c>
      <c r="I168" t="s">
        <v>21</v>
      </c>
      <c r="J168" t="s">
        <v>38</v>
      </c>
    </row>
    <row r="169" spans="1:10" x14ac:dyDescent="0.25">
      <c r="A169" t="s">
        <v>105</v>
      </c>
      <c r="B169" s="1">
        <v>45203</v>
      </c>
      <c r="C169" t="s">
        <v>15</v>
      </c>
      <c r="D169">
        <v>1</v>
      </c>
      <c r="E169">
        <v>95</v>
      </c>
      <c r="F169">
        <v>12</v>
      </c>
      <c r="G169">
        <v>1140</v>
      </c>
      <c r="H169">
        <v>133</v>
      </c>
      <c r="I169" t="s">
        <v>22</v>
      </c>
      <c r="J169" t="s">
        <v>38</v>
      </c>
    </row>
    <row r="170" spans="1:10" x14ac:dyDescent="0.25">
      <c r="A170" t="s">
        <v>105</v>
      </c>
      <c r="B170" s="1">
        <v>45203</v>
      </c>
      <c r="C170" t="s">
        <v>15</v>
      </c>
      <c r="D170">
        <v>2</v>
      </c>
      <c r="E170">
        <v>135</v>
      </c>
      <c r="F170">
        <v>10</v>
      </c>
      <c r="G170">
        <v>1350</v>
      </c>
      <c r="H170">
        <v>180</v>
      </c>
      <c r="I170" t="s">
        <v>22</v>
      </c>
      <c r="J170" t="s">
        <v>38</v>
      </c>
    </row>
    <row r="171" spans="1:10" x14ac:dyDescent="0.25">
      <c r="A171" t="s">
        <v>105</v>
      </c>
      <c r="B171" s="1">
        <v>45203</v>
      </c>
      <c r="C171" t="s">
        <v>15</v>
      </c>
      <c r="D171">
        <v>3</v>
      </c>
      <c r="E171">
        <v>135</v>
      </c>
      <c r="F171">
        <v>8</v>
      </c>
      <c r="G171">
        <v>1080</v>
      </c>
      <c r="H171">
        <v>171</v>
      </c>
      <c r="I171" t="s">
        <v>22</v>
      </c>
      <c r="J171" t="s">
        <v>38</v>
      </c>
    </row>
    <row r="172" spans="1:10" x14ac:dyDescent="0.25">
      <c r="A172" t="s">
        <v>105</v>
      </c>
      <c r="B172" s="1">
        <v>45203</v>
      </c>
      <c r="C172" t="s">
        <v>17</v>
      </c>
      <c r="D172">
        <v>1</v>
      </c>
      <c r="E172">
        <v>45</v>
      </c>
      <c r="F172">
        <v>12</v>
      </c>
      <c r="G172">
        <v>540</v>
      </c>
      <c r="H172">
        <v>63</v>
      </c>
      <c r="I172" t="s">
        <v>22</v>
      </c>
      <c r="J172" t="s">
        <v>37</v>
      </c>
    </row>
    <row r="173" spans="1:10" x14ac:dyDescent="0.25">
      <c r="A173" t="s">
        <v>105</v>
      </c>
      <c r="B173" s="1">
        <v>45203</v>
      </c>
      <c r="C173" t="s">
        <v>17</v>
      </c>
      <c r="D173">
        <v>2</v>
      </c>
      <c r="E173">
        <v>65</v>
      </c>
      <c r="F173">
        <v>12</v>
      </c>
      <c r="G173">
        <v>780</v>
      </c>
      <c r="H173">
        <v>91</v>
      </c>
      <c r="I173" t="s">
        <v>22</v>
      </c>
      <c r="J173" t="s">
        <v>37</v>
      </c>
    </row>
    <row r="174" spans="1:10" x14ac:dyDescent="0.25">
      <c r="A174" t="s">
        <v>105</v>
      </c>
      <c r="B174" s="1">
        <v>45203</v>
      </c>
      <c r="C174" t="s">
        <v>17</v>
      </c>
      <c r="D174">
        <v>3</v>
      </c>
      <c r="E174">
        <v>70</v>
      </c>
      <c r="F174">
        <v>13</v>
      </c>
      <c r="G174">
        <v>910</v>
      </c>
      <c r="H174">
        <v>100.33</v>
      </c>
      <c r="I174" t="s">
        <v>22</v>
      </c>
      <c r="J174" t="s">
        <v>37</v>
      </c>
    </row>
    <row r="175" spans="1:10" x14ac:dyDescent="0.25">
      <c r="A175" t="s">
        <v>105</v>
      </c>
      <c r="B175" s="1">
        <v>45203</v>
      </c>
      <c r="C175" t="s">
        <v>11</v>
      </c>
      <c r="D175">
        <v>1</v>
      </c>
      <c r="E175">
        <v>115</v>
      </c>
      <c r="F175">
        <v>12</v>
      </c>
      <c r="G175">
        <v>1380</v>
      </c>
      <c r="H175">
        <v>161</v>
      </c>
      <c r="I175" t="s">
        <v>22</v>
      </c>
      <c r="J175" t="s">
        <v>37</v>
      </c>
    </row>
    <row r="176" spans="1:10" x14ac:dyDescent="0.25">
      <c r="A176" t="s">
        <v>105</v>
      </c>
      <c r="B176" s="1">
        <v>45203</v>
      </c>
      <c r="C176" t="s">
        <v>11</v>
      </c>
      <c r="D176">
        <v>2</v>
      </c>
      <c r="E176">
        <v>125</v>
      </c>
      <c r="F176">
        <v>12</v>
      </c>
      <c r="G176">
        <v>1500</v>
      </c>
      <c r="H176">
        <v>175</v>
      </c>
      <c r="I176" t="s">
        <v>22</v>
      </c>
      <c r="J176" t="s">
        <v>37</v>
      </c>
    </row>
    <row r="177" spans="1:10" x14ac:dyDescent="0.25">
      <c r="A177" t="s">
        <v>105</v>
      </c>
      <c r="B177" s="1">
        <v>45203</v>
      </c>
      <c r="C177" t="s">
        <v>11</v>
      </c>
      <c r="D177">
        <v>3</v>
      </c>
      <c r="E177">
        <v>125</v>
      </c>
      <c r="F177">
        <v>12</v>
      </c>
      <c r="G177">
        <v>1500</v>
      </c>
      <c r="H177">
        <v>175</v>
      </c>
      <c r="I177" t="s">
        <v>22</v>
      </c>
      <c r="J177" t="s">
        <v>37</v>
      </c>
    </row>
    <row r="178" spans="1:10" x14ac:dyDescent="0.25">
      <c r="A178" t="s">
        <v>106</v>
      </c>
      <c r="B178" s="1">
        <v>45204</v>
      </c>
      <c r="C178" t="s">
        <v>12</v>
      </c>
      <c r="D178">
        <v>1</v>
      </c>
      <c r="E178">
        <v>95</v>
      </c>
      <c r="F178">
        <v>10</v>
      </c>
      <c r="G178">
        <v>950</v>
      </c>
      <c r="H178">
        <v>126.67</v>
      </c>
      <c r="I178" t="s">
        <v>23</v>
      </c>
      <c r="J178" t="s">
        <v>37</v>
      </c>
    </row>
    <row r="179" spans="1:10" x14ac:dyDescent="0.25">
      <c r="A179" t="s">
        <v>106</v>
      </c>
      <c r="B179" s="1">
        <v>45204</v>
      </c>
      <c r="C179" t="s">
        <v>12</v>
      </c>
      <c r="D179">
        <v>2</v>
      </c>
      <c r="E179">
        <v>105</v>
      </c>
      <c r="F179">
        <v>8</v>
      </c>
      <c r="G179">
        <v>840</v>
      </c>
      <c r="H179">
        <v>133</v>
      </c>
      <c r="I179" t="s">
        <v>23</v>
      </c>
      <c r="J179" t="s">
        <v>37</v>
      </c>
    </row>
    <row r="180" spans="1:10" x14ac:dyDescent="0.25">
      <c r="A180" t="s">
        <v>106</v>
      </c>
      <c r="B180" s="1">
        <v>45204</v>
      </c>
      <c r="C180" t="s">
        <v>12</v>
      </c>
      <c r="D180">
        <v>3</v>
      </c>
      <c r="E180">
        <v>110</v>
      </c>
      <c r="F180">
        <v>7</v>
      </c>
      <c r="G180">
        <v>770</v>
      </c>
      <c r="H180">
        <v>135.66999999999999</v>
      </c>
      <c r="I180" t="s">
        <v>23</v>
      </c>
      <c r="J180" t="s">
        <v>37</v>
      </c>
    </row>
    <row r="181" spans="1:10" x14ac:dyDescent="0.25">
      <c r="A181" t="s">
        <v>106</v>
      </c>
      <c r="B181" s="1">
        <v>45204</v>
      </c>
      <c r="C181" t="s">
        <v>18</v>
      </c>
      <c r="D181">
        <v>1</v>
      </c>
      <c r="E181">
        <v>45</v>
      </c>
      <c r="F181">
        <v>12</v>
      </c>
      <c r="G181">
        <v>540</v>
      </c>
      <c r="H181">
        <v>63</v>
      </c>
      <c r="I181" t="s">
        <v>23</v>
      </c>
      <c r="J181" t="s">
        <v>38</v>
      </c>
    </row>
    <row r="182" spans="1:10" x14ac:dyDescent="0.25">
      <c r="A182" t="s">
        <v>106</v>
      </c>
      <c r="B182" s="1">
        <v>45204</v>
      </c>
      <c r="C182" t="s">
        <v>18</v>
      </c>
      <c r="D182">
        <v>2</v>
      </c>
      <c r="E182">
        <v>75</v>
      </c>
      <c r="F182">
        <v>12</v>
      </c>
      <c r="G182">
        <v>900</v>
      </c>
      <c r="H182">
        <v>105</v>
      </c>
      <c r="I182" t="s">
        <v>23</v>
      </c>
      <c r="J182" t="s">
        <v>38</v>
      </c>
    </row>
    <row r="183" spans="1:10" x14ac:dyDescent="0.25">
      <c r="A183" t="s">
        <v>106</v>
      </c>
      <c r="B183" s="1">
        <v>45204</v>
      </c>
      <c r="C183" t="s">
        <v>18</v>
      </c>
      <c r="D183">
        <v>3</v>
      </c>
      <c r="E183">
        <v>95</v>
      </c>
      <c r="F183">
        <v>10</v>
      </c>
      <c r="G183">
        <v>950</v>
      </c>
      <c r="H183">
        <v>126.67</v>
      </c>
      <c r="I183" t="s">
        <v>23</v>
      </c>
      <c r="J183" t="s">
        <v>38</v>
      </c>
    </row>
    <row r="184" spans="1:10" x14ac:dyDescent="0.25">
      <c r="A184" t="s">
        <v>106</v>
      </c>
      <c r="B184" s="1">
        <v>45204</v>
      </c>
      <c r="C184" t="s">
        <v>18</v>
      </c>
      <c r="D184">
        <v>4</v>
      </c>
      <c r="E184">
        <v>95</v>
      </c>
      <c r="F184">
        <v>10</v>
      </c>
      <c r="G184">
        <v>950</v>
      </c>
      <c r="H184">
        <v>126.67</v>
      </c>
      <c r="I184" t="s">
        <v>23</v>
      </c>
      <c r="J184" t="s">
        <v>38</v>
      </c>
    </row>
    <row r="185" spans="1:10" x14ac:dyDescent="0.25">
      <c r="A185" t="s">
        <v>106</v>
      </c>
      <c r="B185" s="1">
        <v>45204</v>
      </c>
      <c r="C185" t="s">
        <v>13</v>
      </c>
      <c r="D185">
        <v>1</v>
      </c>
      <c r="E185">
        <v>55</v>
      </c>
      <c r="F185">
        <v>12</v>
      </c>
      <c r="G185">
        <v>660</v>
      </c>
      <c r="H185">
        <v>77</v>
      </c>
      <c r="I185" t="s">
        <v>23</v>
      </c>
      <c r="J185" t="s">
        <v>38</v>
      </c>
    </row>
    <row r="186" spans="1:10" x14ac:dyDescent="0.25">
      <c r="A186" t="s">
        <v>106</v>
      </c>
      <c r="B186" s="1">
        <v>45204</v>
      </c>
      <c r="C186" t="s">
        <v>13</v>
      </c>
      <c r="D186">
        <v>2</v>
      </c>
      <c r="E186">
        <v>55</v>
      </c>
      <c r="F186">
        <v>11</v>
      </c>
      <c r="G186">
        <v>605</v>
      </c>
      <c r="H186">
        <v>75.17</v>
      </c>
      <c r="I186" t="s">
        <v>23</v>
      </c>
      <c r="J186" t="s">
        <v>38</v>
      </c>
    </row>
    <row r="187" spans="1:10" x14ac:dyDescent="0.25">
      <c r="A187" t="s">
        <v>106</v>
      </c>
      <c r="B187" s="1">
        <v>45204</v>
      </c>
      <c r="C187" t="s">
        <v>13</v>
      </c>
      <c r="D187">
        <v>3</v>
      </c>
      <c r="E187">
        <v>55</v>
      </c>
      <c r="F187">
        <v>10</v>
      </c>
      <c r="G187">
        <v>550</v>
      </c>
      <c r="H187">
        <v>73.33</v>
      </c>
      <c r="I187" t="s">
        <v>23</v>
      </c>
      <c r="J187" t="s">
        <v>38</v>
      </c>
    </row>
    <row r="188" spans="1:10" x14ac:dyDescent="0.25">
      <c r="A188" t="s">
        <v>106</v>
      </c>
      <c r="B188" s="1">
        <v>45204</v>
      </c>
      <c r="C188" t="s">
        <v>14</v>
      </c>
      <c r="D188">
        <v>1</v>
      </c>
      <c r="E188">
        <v>55</v>
      </c>
      <c r="F188">
        <v>8</v>
      </c>
      <c r="G188">
        <v>440</v>
      </c>
      <c r="H188">
        <v>69.67</v>
      </c>
      <c r="I188" t="s">
        <v>23</v>
      </c>
      <c r="J188" t="s">
        <v>37</v>
      </c>
    </row>
    <row r="189" spans="1:10" x14ac:dyDescent="0.25">
      <c r="A189" t="s">
        <v>106</v>
      </c>
      <c r="B189" s="1">
        <v>45204</v>
      </c>
      <c r="C189" t="s">
        <v>14</v>
      </c>
      <c r="D189">
        <v>2</v>
      </c>
      <c r="E189">
        <v>55</v>
      </c>
      <c r="F189">
        <v>10</v>
      </c>
      <c r="G189">
        <v>550</v>
      </c>
      <c r="H189">
        <v>73.33</v>
      </c>
      <c r="I189" t="s">
        <v>23</v>
      </c>
      <c r="J189" t="s">
        <v>37</v>
      </c>
    </row>
    <row r="190" spans="1:10" x14ac:dyDescent="0.25">
      <c r="A190" t="s">
        <v>106</v>
      </c>
      <c r="B190" s="1">
        <v>45204</v>
      </c>
      <c r="C190" t="s">
        <v>14</v>
      </c>
      <c r="D190">
        <v>3</v>
      </c>
      <c r="E190">
        <v>55</v>
      </c>
      <c r="F190">
        <v>10</v>
      </c>
      <c r="G190">
        <v>550</v>
      </c>
      <c r="H190">
        <v>73.33</v>
      </c>
      <c r="I190" t="s">
        <v>23</v>
      </c>
      <c r="J190" t="s">
        <v>37</v>
      </c>
    </row>
    <row r="191" spans="1:10" x14ac:dyDescent="0.25">
      <c r="A191" t="s">
        <v>106</v>
      </c>
      <c r="B191" s="1">
        <v>45204</v>
      </c>
      <c r="C191" t="s">
        <v>45</v>
      </c>
      <c r="D191">
        <v>1</v>
      </c>
      <c r="E191">
        <v>5</v>
      </c>
      <c r="F191">
        <v>20</v>
      </c>
      <c r="G191">
        <v>100</v>
      </c>
      <c r="H191">
        <v>8.33</v>
      </c>
      <c r="I191" t="s">
        <v>23</v>
      </c>
      <c r="J191" t="s">
        <v>38</v>
      </c>
    </row>
    <row r="192" spans="1:10" x14ac:dyDescent="0.25">
      <c r="A192" t="s">
        <v>106</v>
      </c>
      <c r="B192" s="1">
        <v>45204</v>
      </c>
      <c r="C192" t="s">
        <v>45</v>
      </c>
      <c r="D192">
        <v>2</v>
      </c>
      <c r="E192">
        <v>10</v>
      </c>
      <c r="F192">
        <v>15</v>
      </c>
      <c r="G192">
        <v>150</v>
      </c>
      <c r="H192">
        <v>15</v>
      </c>
      <c r="I192" t="s">
        <v>23</v>
      </c>
      <c r="J192" t="s">
        <v>38</v>
      </c>
    </row>
    <row r="193" spans="1:10" x14ac:dyDescent="0.25">
      <c r="A193" t="s">
        <v>106</v>
      </c>
      <c r="B193" s="1">
        <v>45204</v>
      </c>
      <c r="C193" t="s">
        <v>45</v>
      </c>
      <c r="D193">
        <v>3</v>
      </c>
      <c r="E193">
        <v>5</v>
      </c>
      <c r="F193">
        <v>20</v>
      </c>
      <c r="G193">
        <v>100</v>
      </c>
      <c r="H193">
        <v>8.33</v>
      </c>
      <c r="I193" t="s">
        <v>23</v>
      </c>
      <c r="J193" t="s">
        <v>38</v>
      </c>
    </row>
    <row r="194" spans="1:10" x14ac:dyDescent="0.25">
      <c r="A194" t="s">
        <v>106</v>
      </c>
      <c r="B194" s="1">
        <v>45204</v>
      </c>
      <c r="C194" t="s">
        <v>45</v>
      </c>
      <c r="D194">
        <v>4</v>
      </c>
      <c r="E194">
        <v>10</v>
      </c>
      <c r="F194">
        <v>12</v>
      </c>
      <c r="G194">
        <v>120</v>
      </c>
      <c r="H194">
        <v>14</v>
      </c>
      <c r="I194" t="s">
        <v>23</v>
      </c>
      <c r="J194" t="s">
        <v>38</v>
      </c>
    </row>
    <row r="195" spans="1:10" x14ac:dyDescent="0.25">
      <c r="A195" t="s">
        <v>106</v>
      </c>
      <c r="B195" s="1">
        <v>45204</v>
      </c>
      <c r="C195" t="s">
        <v>45</v>
      </c>
      <c r="D195">
        <v>5</v>
      </c>
      <c r="E195">
        <v>5</v>
      </c>
      <c r="F195">
        <v>21</v>
      </c>
      <c r="G195">
        <v>105</v>
      </c>
      <c r="H195">
        <v>8.5</v>
      </c>
      <c r="I195" t="s">
        <v>23</v>
      </c>
      <c r="J195" t="s">
        <v>38</v>
      </c>
    </row>
    <row r="196" spans="1:10" x14ac:dyDescent="0.25">
      <c r="A196" t="s">
        <v>107</v>
      </c>
      <c r="B196" s="1">
        <v>45205</v>
      </c>
      <c r="C196" t="s">
        <v>9</v>
      </c>
      <c r="D196">
        <v>1</v>
      </c>
      <c r="E196">
        <v>80</v>
      </c>
      <c r="F196">
        <v>15</v>
      </c>
      <c r="G196">
        <v>1200</v>
      </c>
      <c r="H196">
        <v>120</v>
      </c>
      <c r="I196" t="s">
        <v>21</v>
      </c>
      <c r="J196" t="s">
        <v>37</v>
      </c>
    </row>
    <row r="197" spans="1:10" x14ac:dyDescent="0.25">
      <c r="A197" t="s">
        <v>107</v>
      </c>
      <c r="B197" s="1">
        <v>45205</v>
      </c>
      <c r="C197" t="s">
        <v>9</v>
      </c>
      <c r="D197">
        <v>2</v>
      </c>
      <c r="E197">
        <v>95</v>
      </c>
      <c r="F197">
        <v>10</v>
      </c>
      <c r="G197">
        <v>950</v>
      </c>
      <c r="H197">
        <v>126.67</v>
      </c>
      <c r="I197" t="s">
        <v>21</v>
      </c>
      <c r="J197" t="s">
        <v>37</v>
      </c>
    </row>
    <row r="198" spans="1:10" x14ac:dyDescent="0.25">
      <c r="A198" t="s">
        <v>107</v>
      </c>
      <c r="B198" s="1">
        <v>45205</v>
      </c>
      <c r="C198" t="s">
        <v>9</v>
      </c>
      <c r="D198">
        <v>3</v>
      </c>
      <c r="E198">
        <v>105</v>
      </c>
      <c r="F198">
        <v>10</v>
      </c>
      <c r="G198">
        <v>1050</v>
      </c>
      <c r="H198">
        <v>140</v>
      </c>
      <c r="I198" t="s">
        <v>21</v>
      </c>
      <c r="J198" t="s">
        <v>37</v>
      </c>
    </row>
    <row r="199" spans="1:10" x14ac:dyDescent="0.25">
      <c r="A199" t="s">
        <v>107</v>
      </c>
      <c r="B199" s="1">
        <v>45205</v>
      </c>
      <c r="C199" t="s">
        <v>9</v>
      </c>
      <c r="D199">
        <v>4</v>
      </c>
      <c r="E199">
        <v>95</v>
      </c>
      <c r="F199">
        <v>10</v>
      </c>
      <c r="G199">
        <v>950</v>
      </c>
      <c r="H199">
        <v>126.67</v>
      </c>
      <c r="I199" t="s">
        <v>21</v>
      </c>
      <c r="J199" t="s">
        <v>37</v>
      </c>
    </row>
    <row r="200" spans="1:10" x14ac:dyDescent="0.25">
      <c r="A200" t="s">
        <v>107</v>
      </c>
      <c r="B200" s="1">
        <v>45205</v>
      </c>
      <c r="C200" t="s">
        <v>10</v>
      </c>
      <c r="D200">
        <v>1</v>
      </c>
      <c r="E200">
        <v>55</v>
      </c>
      <c r="F200">
        <v>15</v>
      </c>
      <c r="G200">
        <v>825</v>
      </c>
      <c r="H200">
        <v>82.5</v>
      </c>
      <c r="I200" t="s">
        <v>21</v>
      </c>
      <c r="J200" t="s">
        <v>38</v>
      </c>
    </row>
    <row r="201" spans="1:10" x14ac:dyDescent="0.25">
      <c r="A201" t="s">
        <v>107</v>
      </c>
      <c r="B201" s="1">
        <v>45205</v>
      </c>
      <c r="C201" t="s">
        <v>10</v>
      </c>
      <c r="D201">
        <v>2</v>
      </c>
      <c r="E201">
        <v>60</v>
      </c>
      <c r="F201">
        <v>12</v>
      </c>
      <c r="G201">
        <v>720</v>
      </c>
      <c r="H201">
        <v>84</v>
      </c>
      <c r="I201" t="s">
        <v>21</v>
      </c>
      <c r="J201" t="s">
        <v>38</v>
      </c>
    </row>
    <row r="202" spans="1:10" x14ac:dyDescent="0.25">
      <c r="A202" t="s">
        <v>107</v>
      </c>
      <c r="B202" s="1">
        <v>45205</v>
      </c>
      <c r="C202" t="s">
        <v>10</v>
      </c>
      <c r="D202">
        <v>3</v>
      </c>
      <c r="E202">
        <v>60</v>
      </c>
      <c r="F202">
        <v>9</v>
      </c>
      <c r="G202">
        <v>540</v>
      </c>
      <c r="H202">
        <v>78</v>
      </c>
      <c r="I202" t="s">
        <v>21</v>
      </c>
      <c r="J202" t="s">
        <v>38</v>
      </c>
    </row>
    <row r="203" spans="1:10" x14ac:dyDescent="0.25">
      <c r="A203" t="s">
        <v>107</v>
      </c>
      <c r="B203" s="1">
        <v>45205</v>
      </c>
      <c r="C203" t="s">
        <v>10</v>
      </c>
      <c r="D203">
        <v>4</v>
      </c>
      <c r="E203">
        <v>60</v>
      </c>
      <c r="F203">
        <v>9</v>
      </c>
      <c r="G203">
        <v>540</v>
      </c>
      <c r="H203">
        <v>78</v>
      </c>
      <c r="I203" t="s">
        <v>21</v>
      </c>
      <c r="J203" t="s">
        <v>38</v>
      </c>
    </row>
    <row r="204" spans="1:10" x14ac:dyDescent="0.25">
      <c r="A204" t="s">
        <v>107</v>
      </c>
      <c r="B204" s="1">
        <v>45205</v>
      </c>
      <c r="C204" t="s">
        <v>16</v>
      </c>
      <c r="D204">
        <v>1</v>
      </c>
      <c r="E204">
        <v>50</v>
      </c>
      <c r="F204">
        <v>15</v>
      </c>
      <c r="G204">
        <v>750</v>
      </c>
      <c r="H204">
        <v>75</v>
      </c>
      <c r="I204" t="s">
        <v>21</v>
      </c>
      <c r="J204" t="s">
        <v>38</v>
      </c>
    </row>
    <row r="205" spans="1:10" x14ac:dyDescent="0.25">
      <c r="A205" t="s">
        <v>107</v>
      </c>
      <c r="B205" s="1">
        <v>45205</v>
      </c>
      <c r="C205" t="s">
        <v>16</v>
      </c>
      <c r="D205">
        <v>2</v>
      </c>
      <c r="E205">
        <v>70</v>
      </c>
      <c r="F205">
        <v>15</v>
      </c>
      <c r="G205">
        <v>1050</v>
      </c>
      <c r="H205">
        <v>105</v>
      </c>
      <c r="I205" t="s">
        <v>21</v>
      </c>
      <c r="J205" t="s">
        <v>38</v>
      </c>
    </row>
    <row r="206" spans="1:10" x14ac:dyDescent="0.25">
      <c r="A206" t="s">
        <v>107</v>
      </c>
      <c r="B206" s="1">
        <v>45205</v>
      </c>
      <c r="C206" t="s">
        <v>16</v>
      </c>
      <c r="D206">
        <v>3</v>
      </c>
      <c r="E206">
        <v>70</v>
      </c>
      <c r="F206">
        <v>10</v>
      </c>
      <c r="G206">
        <v>700</v>
      </c>
      <c r="H206">
        <v>93.33</v>
      </c>
      <c r="I206" t="s">
        <v>21</v>
      </c>
      <c r="J206" t="s">
        <v>38</v>
      </c>
    </row>
    <row r="207" spans="1:10" x14ac:dyDescent="0.25">
      <c r="A207" t="s">
        <v>107</v>
      </c>
      <c r="B207" s="1">
        <v>45205</v>
      </c>
      <c r="C207" t="s">
        <v>16</v>
      </c>
      <c r="D207">
        <v>4</v>
      </c>
      <c r="E207">
        <v>50</v>
      </c>
      <c r="F207">
        <v>12</v>
      </c>
      <c r="G207">
        <v>600</v>
      </c>
      <c r="H207">
        <v>70</v>
      </c>
      <c r="I207" t="s">
        <v>21</v>
      </c>
      <c r="J207" t="s">
        <v>38</v>
      </c>
    </row>
    <row r="208" spans="1:10" x14ac:dyDescent="0.25">
      <c r="A208" t="s">
        <v>108</v>
      </c>
      <c r="B208" s="1">
        <v>45208</v>
      </c>
      <c r="C208" t="s">
        <v>15</v>
      </c>
      <c r="D208">
        <v>1</v>
      </c>
      <c r="E208">
        <v>100</v>
      </c>
      <c r="F208">
        <v>12</v>
      </c>
      <c r="G208">
        <v>1200</v>
      </c>
      <c r="H208">
        <v>140</v>
      </c>
      <c r="I208" t="s">
        <v>22</v>
      </c>
      <c r="J208" t="s">
        <v>38</v>
      </c>
    </row>
    <row r="209" spans="1:10" x14ac:dyDescent="0.25">
      <c r="A209" t="s">
        <v>108</v>
      </c>
      <c r="B209" s="1">
        <v>45208</v>
      </c>
      <c r="C209" t="s">
        <v>15</v>
      </c>
      <c r="D209">
        <v>2</v>
      </c>
      <c r="E209">
        <v>140</v>
      </c>
      <c r="F209">
        <v>10</v>
      </c>
      <c r="G209">
        <v>1400</v>
      </c>
      <c r="H209">
        <v>186.67</v>
      </c>
      <c r="I209" t="s">
        <v>22</v>
      </c>
      <c r="J209" t="s">
        <v>38</v>
      </c>
    </row>
    <row r="210" spans="1:10" x14ac:dyDescent="0.25">
      <c r="A210" t="s">
        <v>108</v>
      </c>
      <c r="B210" s="1">
        <v>45208</v>
      </c>
      <c r="C210" t="s">
        <v>15</v>
      </c>
      <c r="D210">
        <v>3</v>
      </c>
      <c r="E210">
        <v>140</v>
      </c>
      <c r="F210">
        <v>8</v>
      </c>
      <c r="G210">
        <v>1120</v>
      </c>
      <c r="H210">
        <v>177.33</v>
      </c>
      <c r="I210" t="s">
        <v>22</v>
      </c>
      <c r="J210" t="s">
        <v>38</v>
      </c>
    </row>
    <row r="211" spans="1:10" x14ac:dyDescent="0.25">
      <c r="A211" t="s">
        <v>108</v>
      </c>
      <c r="B211" s="1">
        <v>45208</v>
      </c>
      <c r="C211" t="s">
        <v>17</v>
      </c>
      <c r="D211">
        <v>1</v>
      </c>
      <c r="E211">
        <v>55</v>
      </c>
      <c r="F211">
        <v>12</v>
      </c>
      <c r="G211">
        <v>660</v>
      </c>
      <c r="H211">
        <v>77</v>
      </c>
      <c r="I211" t="s">
        <v>22</v>
      </c>
      <c r="J211" t="s">
        <v>37</v>
      </c>
    </row>
    <row r="212" spans="1:10" x14ac:dyDescent="0.25">
      <c r="A212" t="s">
        <v>108</v>
      </c>
      <c r="B212" s="1">
        <v>45208</v>
      </c>
      <c r="C212" t="s">
        <v>17</v>
      </c>
      <c r="D212">
        <v>2</v>
      </c>
      <c r="E212">
        <v>70</v>
      </c>
      <c r="F212">
        <v>12</v>
      </c>
      <c r="G212">
        <v>840</v>
      </c>
      <c r="H212">
        <v>98</v>
      </c>
      <c r="I212" t="s">
        <v>22</v>
      </c>
      <c r="J212" t="s">
        <v>37</v>
      </c>
    </row>
    <row r="213" spans="1:10" x14ac:dyDescent="0.25">
      <c r="A213" t="s">
        <v>108</v>
      </c>
      <c r="B213" s="1">
        <v>45208</v>
      </c>
      <c r="C213" t="s">
        <v>17</v>
      </c>
      <c r="D213">
        <v>3</v>
      </c>
      <c r="E213">
        <v>80</v>
      </c>
      <c r="F213">
        <v>12</v>
      </c>
      <c r="G213">
        <v>960</v>
      </c>
      <c r="H213">
        <v>112</v>
      </c>
      <c r="I213" t="s">
        <v>22</v>
      </c>
      <c r="J213" t="s">
        <v>37</v>
      </c>
    </row>
    <row r="214" spans="1:10" x14ac:dyDescent="0.25">
      <c r="A214" t="s">
        <v>108</v>
      </c>
      <c r="B214" s="1">
        <v>45208</v>
      </c>
      <c r="C214" t="s">
        <v>17</v>
      </c>
      <c r="D214">
        <v>4</v>
      </c>
      <c r="E214">
        <v>80</v>
      </c>
      <c r="F214">
        <v>12</v>
      </c>
      <c r="G214">
        <v>960</v>
      </c>
      <c r="H214">
        <v>112</v>
      </c>
      <c r="I214" t="s">
        <v>22</v>
      </c>
      <c r="J214" t="s">
        <v>37</v>
      </c>
    </row>
    <row r="215" spans="1:10" x14ac:dyDescent="0.25">
      <c r="A215" t="s">
        <v>108</v>
      </c>
      <c r="B215" s="1">
        <v>45208</v>
      </c>
      <c r="C215" t="s">
        <v>11</v>
      </c>
      <c r="D215">
        <v>1</v>
      </c>
      <c r="E215">
        <v>135</v>
      </c>
      <c r="F215">
        <v>10</v>
      </c>
      <c r="G215">
        <v>1350</v>
      </c>
      <c r="H215">
        <v>180</v>
      </c>
      <c r="I215" t="s">
        <v>22</v>
      </c>
      <c r="J215" t="s">
        <v>37</v>
      </c>
    </row>
    <row r="216" spans="1:10" x14ac:dyDescent="0.25">
      <c r="A216" t="s">
        <v>108</v>
      </c>
      <c r="B216" s="1">
        <v>45208</v>
      </c>
      <c r="C216" t="s">
        <v>11</v>
      </c>
      <c r="D216">
        <v>2</v>
      </c>
      <c r="E216">
        <v>135</v>
      </c>
      <c r="F216">
        <v>12</v>
      </c>
      <c r="G216">
        <v>1620</v>
      </c>
      <c r="H216">
        <v>189</v>
      </c>
      <c r="I216" t="s">
        <v>22</v>
      </c>
      <c r="J216" t="s">
        <v>37</v>
      </c>
    </row>
    <row r="217" spans="1:10" x14ac:dyDescent="0.25">
      <c r="A217" t="s">
        <v>108</v>
      </c>
      <c r="B217" s="1">
        <v>45208</v>
      </c>
      <c r="C217" t="s">
        <v>11</v>
      </c>
      <c r="D217">
        <v>3</v>
      </c>
      <c r="E217">
        <v>135</v>
      </c>
      <c r="F217">
        <v>12</v>
      </c>
      <c r="G217">
        <v>1620</v>
      </c>
      <c r="H217">
        <v>189</v>
      </c>
      <c r="I217" t="s">
        <v>22</v>
      </c>
      <c r="J217" t="s">
        <v>37</v>
      </c>
    </row>
    <row r="218" spans="1:10" x14ac:dyDescent="0.25">
      <c r="A218" t="s">
        <v>109</v>
      </c>
      <c r="B218" s="1">
        <v>45209</v>
      </c>
      <c r="C218" t="s">
        <v>12</v>
      </c>
      <c r="D218">
        <v>1</v>
      </c>
      <c r="E218">
        <v>45</v>
      </c>
      <c r="F218">
        <v>10</v>
      </c>
      <c r="G218">
        <v>450</v>
      </c>
      <c r="H218">
        <v>60</v>
      </c>
      <c r="I218" t="s">
        <v>23</v>
      </c>
      <c r="J218" t="s">
        <v>37</v>
      </c>
    </row>
    <row r="219" spans="1:10" x14ac:dyDescent="0.25">
      <c r="A219" t="s">
        <v>109</v>
      </c>
      <c r="B219" s="1">
        <v>45209</v>
      </c>
      <c r="C219" t="s">
        <v>12</v>
      </c>
      <c r="D219">
        <v>2</v>
      </c>
      <c r="E219">
        <v>70</v>
      </c>
      <c r="F219">
        <v>12</v>
      </c>
      <c r="G219">
        <v>840</v>
      </c>
      <c r="H219">
        <v>98</v>
      </c>
      <c r="I219" t="s">
        <v>23</v>
      </c>
      <c r="J219" t="s">
        <v>37</v>
      </c>
    </row>
    <row r="220" spans="1:10" x14ac:dyDescent="0.25">
      <c r="A220" t="s">
        <v>109</v>
      </c>
      <c r="B220" s="1">
        <v>45209</v>
      </c>
      <c r="C220" t="s">
        <v>12</v>
      </c>
      <c r="D220">
        <v>3</v>
      </c>
      <c r="E220">
        <v>95</v>
      </c>
      <c r="F220">
        <v>10</v>
      </c>
      <c r="G220">
        <v>950</v>
      </c>
      <c r="H220">
        <v>126.67</v>
      </c>
      <c r="I220" t="s">
        <v>23</v>
      </c>
      <c r="J220" t="s">
        <v>37</v>
      </c>
    </row>
    <row r="221" spans="1:10" x14ac:dyDescent="0.25">
      <c r="A221" t="s">
        <v>109</v>
      </c>
      <c r="B221" s="1">
        <v>45209</v>
      </c>
      <c r="C221" t="s">
        <v>12</v>
      </c>
      <c r="D221">
        <v>4</v>
      </c>
      <c r="E221">
        <v>95</v>
      </c>
      <c r="F221">
        <v>10</v>
      </c>
      <c r="G221">
        <v>950</v>
      </c>
      <c r="H221">
        <v>126.67</v>
      </c>
      <c r="I221" t="s">
        <v>23</v>
      </c>
      <c r="J221" t="s">
        <v>37</v>
      </c>
    </row>
    <row r="222" spans="1:10" x14ac:dyDescent="0.25">
      <c r="A222" t="s">
        <v>109</v>
      </c>
      <c r="B222" s="1">
        <v>45209</v>
      </c>
      <c r="C222" t="s">
        <v>12</v>
      </c>
      <c r="D222">
        <v>5</v>
      </c>
      <c r="E222">
        <v>95</v>
      </c>
      <c r="F222">
        <v>10</v>
      </c>
      <c r="G222">
        <v>950</v>
      </c>
      <c r="H222">
        <v>126.67</v>
      </c>
      <c r="I222" t="s">
        <v>23</v>
      </c>
      <c r="J222" t="s">
        <v>37</v>
      </c>
    </row>
    <row r="223" spans="1:10" x14ac:dyDescent="0.25">
      <c r="A223" t="s">
        <v>109</v>
      </c>
      <c r="B223" s="1">
        <v>45209</v>
      </c>
      <c r="C223" t="s">
        <v>18</v>
      </c>
      <c r="D223">
        <v>1</v>
      </c>
      <c r="E223">
        <v>45</v>
      </c>
      <c r="F223">
        <v>10</v>
      </c>
      <c r="G223">
        <v>450</v>
      </c>
      <c r="H223">
        <v>60</v>
      </c>
      <c r="I223" t="s">
        <v>23</v>
      </c>
      <c r="J223" t="s">
        <v>38</v>
      </c>
    </row>
    <row r="224" spans="1:10" x14ac:dyDescent="0.25">
      <c r="A224" t="s">
        <v>109</v>
      </c>
      <c r="B224" s="1">
        <v>45209</v>
      </c>
      <c r="C224" t="s">
        <v>18</v>
      </c>
      <c r="D224">
        <v>2</v>
      </c>
      <c r="E224">
        <v>75</v>
      </c>
      <c r="F224">
        <v>10</v>
      </c>
      <c r="G224">
        <v>750</v>
      </c>
      <c r="H224">
        <v>100</v>
      </c>
      <c r="I224" t="s">
        <v>23</v>
      </c>
      <c r="J224" t="s">
        <v>38</v>
      </c>
    </row>
    <row r="225" spans="1:10" x14ac:dyDescent="0.25">
      <c r="A225" t="s">
        <v>109</v>
      </c>
      <c r="B225" s="1">
        <v>45209</v>
      </c>
      <c r="C225" t="s">
        <v>18</v>
      </c>
      <c r="D225">
        <v>3</v>
      </c>
      <c r="E225">
        <v>75</v>
      </c>
      <c r="F225">
        <v>10</v>
      </c>
      <c r="G225">
        <v>750</v>
      </c>
      <c r="H225">
        <v>100</v>
      </c>
      <c r="I225" t="s">
        <v>23</v>
      </c>
      <c r="J225" t="s">
        <v>38</v>
      </c>
    </row>
    <row r="226" spans="1:10" x14ac:dyDescent="0.25">
      <c r="A226" t="s">
        <v>109</v>
      </c>
      <c r="B226" s="1">
        <v>45209</v>
      </c>
      <c r="C226" t="s">
        <v>13</v>
      </c>
      <c r="D226">
        <v>1</v>
      </c>
      <c r="E226">
        <v>60</v>
      </c>
      <c r="F226">
        <v>12</v>
      </c>
      <c r="G226">
        <v>720</v>
      </c>
      <c r="H226">
        <v>84</v>
      </c>
      <c r="I226" t="s">
        <v>23</v>
      </c>
      <c r="J226" t="s">
        <v>38</v>
      </c>
    </row>
    <row r="227" spans="1:10" x14ac:dyDescent="0.25">
      <c r="A227" t="s">
        <v>109</v>
      </c>
      <c r="B227" s="1">
        <v>45209</v>
      </c>
      <c r="C227" t="s">
        <v>13</v>
      </c>
      <c r="D227">
        <v>2</v>
      </c>
      <c r="E227">
        <v>60</v>
      </c>
      <c r="F227">
        <v>10</v>
      </c>
      <c r="G227">
        <v>600</v>
      </c>
      <c r="H227">
        <v>80</v>
      </c>
      <c r="I227" t="s">
        <v>23</v>
      </c>
      <c r="J227" t="s">
        <v>38</v>
      </c>
    </row>
    <row r="228" spans="1:10" x14ac:dyDescent="0.25">
      <c r="A228" t="s">
        <v>109</v>
      </c>
      <c r="B228" s="1">
        <v>45209</v>
      </c>
      <c r="C228" t="s">
        <v>13</v>
      </c>
      <c r="D228">
        <v>3</v>
      </c>
      <c r="E228">
        <v>60</v>
      </c>
      <c r="F228">
        <v>7</v>
      </c>
      <c r="G228">
        <v>420</v>
      </c>
      <c r="H228">
        <v>74</v>
      </c>
      <c r="I228" t="s">
        <v>23</v>
      </c>
      <c r="J228" t="s">
        <v>38</v>
      </c>
    </row>
    <row r="229" spans="1:10" x14ac:dyDescent="0.25">
      <c r="A229" t="s">
        <v>109</v>
      </c>
      <c r="B229" s="1">
        <v>45209</v>
      </c>
      <c r="C229" t="s">
        <v>13</v>
      </c>
      <c r="D229">
        <v>4</v>
      </c>
      <c r="E229">
        <v>60</v>
      </c>
      <c r="F229">
        <v>4</v>
      </c>
      <c r="G229">
        <v>240</v>
      </c>
      <c r="H229">
        <v>68</v>
      </c>
      <c r="I229" t="s">
        <v>23</v>
      </c>
      <c r="J229" t="s">
        <v>38</v>
      </c>
    </row>
    <row r="230" spans="1:10" x14ac:dyDescent="0.25">
      <c r="A230" t="s">
        <v>109</v>
      </c>
      <c r="B230" s="1">
        <v>45209</v>
      </c>
      <c r="C230" t="s">
        <v>14</v>
      </c>
      <c r="D230">
        <v>1</v>
      </c>
      <c r="E230">
        <v>45</v>
      </c>
      <c r="F230">
        <v>12</v>
      </c>
      <c r="G230">
        <v>540</v>
      </c>
      <c r="H230">
        <v>63</v>
      </c>
      <c r="I230" t="s">
        <v>23</v>
      </c>
      <c r="J230" t="s">
        <v>37</v>
      </c>
    </row>
    <row r="231" spans="1:10" x14ac:dyDescent="0.25">
      <c r="A231" t="s">
        <v>109</v>
      </c>
      <c r="B231" s="1">
        <v>45209</v>
      </c>
      <c r="C231" t="s">
        <v>14</v>
      </c>
      <c r="D231">
        <v>2</v>
      </c>
      <c r="E231">
        <v>65</v>
      </c>
      <c r="F231">
        <v>10</v>
      </c>
      <c r="G231">
        <v>650</v>
      </c>
      <c r="H231">
        <v>86.67</v>
      </c>
      <c r="I231" t="s">
        <v>23</v>
      </c>
      <c r="J231" t="s">
        <v>37</v>
      </c>
    </row>
    <row r="232" spans="1:10" x14ac:dyDescent="0.25">
      <c r="A232" t="s">
        <v>109</v>
      </c>
      <c r="B232" s="1">
        <v>45209</v>
      </c>
      <c r="C232" t="s">
        <v>14</v>
      </c>
      <c r="D232">
        <v>3</v>
      </c>
      <c r="E232">
        <v>65</v>
      </c>
      <c r="F232">
        <v>10</v>
      </c>
      <c r="G232">
        <v>650</v>
      </c>
      <c r="H232">
        <v>86.67</v>
      </c>
      <c r="I232" t="s">
        <v>23</v>
      </c>
      <c r="J232" t="s">
        <v>37</v>
      </c>
    </row>
    <row r="233" spans="1:10" x14ac:dyDescent="0.25">
      <c r="A233" t="s">
        <v>109</v>
      </c>
      <c r="B233" s="1">
        <v>45209</v>
      </c>
      <c r="C233" t="s">
        <v>14</v>
      </c>
      <c r="D233">
        <v>4</v>
      </c>
      <c r="E233">
        <v>65</v>
      </c>
      <c r="F233">
        <v>7</v>
      </c>
      <c r="G233">
        <v>455</v>
      </c>
      <c r="H233">
        <v>80.17</v>
      </c>
      <c r="I233" t="s">
        <v>23</v>
      </c>
      <c r="J233" t="s">
        <v>37</v>
      </c>
    </row>
    <row r="234" spans="1:10" x14ac:dyDescent="0.25">
      <c r="A234" t="s">
        <v>109</v>
      </c>
      <c r="B234" s="1">
        <v>45209</v>
      </c>
      <c r="C234" t="s">
        <v>45</v>
      </c>
      <c r="D234">
        <v>1</v>
      </c>
      <c r="E234">
        <v>5</v>
      </c>
      <c r="F234">
        <v>20</v>
      </c>
      <c r="G234">
        <v>100</v>
      </c>
      <c r="H234">
        <v>8.33</v>
      </c>
      <c r="I234" t="s">
        <v>23</v>
      </c>
      <c r="J234" t="s">
        <v>38</v>
      </c>
    </row>
    <row r="235" spans="1:10" x14ac:dyDescent="0.25">
      <c r="A235" t="s">
        <v>109</v>
      </c>
      <c r="B235" s="1">
        <v>45209</v>
      </c>
      <c r="C235" t="s">
        <v>45</v>
      </c>
      <c r="D235">
        <v>2</v>
      </c>
      <c r="E235">
        <v>10</v>
      </c>
      <c r="F235">
        <v>20</v>
      </c>
      <c r="G235">
        <v>200</v>
      </c>
      <c r="H235">
        <v>16.670000000000002</v>
      </c>
      <c r="I235" t="s">
        <v>23</v>
      </c>
      <c r="J235" t="s">
        <v>38</v>
      </c>
    </row>
    <row r="236" spans="1:10" x14ac:dyDescent="0.25">
      <c r="A236" t="s">
        <v>109</v>
      </c>
      <c r="B236" s="1">
        <v>45209</v>
      </c>
      <c r="C236" t="s">
        <v>45</v>
      </c>
      <c r="D236">
        <v>3</v>
      </c>
      <c r="E236">
        <v>5</v>
      </c>
      <c r="F236">
        <v>20</v>
      </c>
      <c r="G236">
        <v>100</v>
      </c>
      <c r="H236">
        <v>8.33</v>
      </c>
      <c r="I236" t="s">
        <v>23</v>
      </c>
      <c r="J236" t="s">
        <v>38</v>
      </c>
    </row>
    <row r="237" spans="1:10" x14ac:dyDescent="0.25">
      <c r="A237" t="s">
        <v>109</v>
      </c>
      <c r="B237" s="1">
        <v>45209</v>
      </c>
      <c r="C237" t="s">
        <v>45</v>
      </c>
      <c r="D237">
        <v>4</v>
      </c>
      <c r="E237">
        <v>10</v>
      </c>
      <c r="F237">
        <v>15</v>
      </c>
      <c r="G237">
        <v>150</v>
      </c>
      <c r="H237">
        <v>15</v>
      </c>
      <c r="I237" t="s">
        <v>23</v>
      </c>
      <c r="J237" t="s">
        <v>38</v>
      </c>
    </row>
    <row r="238" spans="1:10" x14ac:dyDescent="0.25">
      <c r="A238" t="s">
        <v>109</v>
      </c>
      <c r="B238" s="1">
        <v>45209</v>
      </c>
      <c r="C238" t="s">
        <v>45</v>
      </c>
      <c r="D238">
        <v>5</v>
      </c>
      <c r="E238">
        <v>5</v>
      </c>
      <c r="F238">
        <v>21</v>
      </c>
      <c r="G238">
        <v>105</v>
      </c>
      <c r="H238">
        <v>8.5</v>
      </c>
      <c r="I238" t="s">
        <v>23</v>
      </c>
      <c r="J238" t="s">
        <v>38</v>
      </c>
    </row>
    <row r="239" spans="1:10" x14ac:dyDescent="0.25">
      <c r="A239" t="s">
        <v>110</v>
      </c>
      <c r="B239" s="1">
        <v>45210</v>
      </c>
      <c r="C239" t="s">
        <v>9</v>
      </c>
      <c r="D239">
        <v>1</v>
      </c>
      <c r="E239">
        <v>95</v>
      </c>
      <c r="F239">
        <v>10</v>
      </c>
      <c r="G239">
        <v>950</v>
      </c>
      <c r="H239">
        <v>126.67</v>
      </c>
      <c r="I239" t="s">
        <v>21</v>
      </c>
      <c r="J239" t="s">
        <v>37</v>
      </c>
    </row>
    <row r="240" spans="1:10" x14ac:dyDescent="0.25">
      <c r="A240" t="s">
        <v>110</v>
      </c>
      <c r="B240" s="1">
        <v>45210</v>
      </c>
      <c r="C240" t="s">
        <v>9</v>
      </c>
      <c r="D240">
        <v>2</v>
      </c>
      <c r="E240">
        <v>105</v>
      </c>
      <c r="F240">
        <v>10</v>
      </c>
      <c r="G240">
        <v>1050</v>
      </c>
      <c r="H240">
        <v>140</v>
      </c>
      <c r="I240" t="s">
        <v>21</v>
      </c>
      <c r="J240" t="s">
        <v>37</v>
      </c>
    </row>
    <row r="241" spans="1:10" x14ac:dyDescent="0.25">
      <c r="A241" t="s">
        <v>110</v>
      </c>
      <c r="B241" s="1">
        <v>45210</v>
      </c>
      <c r="C241" t="s">
        <v>9</v>
      </c>
      <c r="D241">
        <v>3</v>
      </c>
      <c r="E241">
        <v>110</v>
      </c>
      <c r="F241">
        <v>10</v>
      </c>
      <c r="G241">
        <v>1100</v>
      </c>
      <c r="H241">
        <v>146.66999999999999</v>
      </c>
      <c r="I241" t="s">
        <v>21</v>
      </c>
      <c r="J241" t="s">
        <v>37</v>
      </c>
    </row>
    <row r="242" spans="1:10" x14ac:dyDescent="0.25">
      <c r="A242" t="s">
        <v>110</v>
      </c>
      <c r="B242" s="1">
        <v>45210</v>
      </c>
      <c r="C242" t="s">
        <v>9</v>
      </c>
      <c r="D242">
        <v>4</v>
      </c>
      <c r="E242">
        <v>95</v>
      </c>
      <c r="F242">
        <v>10</v>
      </c>
      <c r="G242">
        <v>950</v>
      </c>
      <c r="H242">
        <v>126.67</v>
      </c>
      <c r="I242" t="s">
        <v>21</v>
      </c>
      <c r="J242" t="s">
        <v>37</v>
      </c>
    </row>
    <row r="243" spans="1:10" x14ac:dyDescent="0.25">
      <c r="A243" t="s">
        <v>110</v>
      </c>
      <c r="B243" s="1">
        <v>45210</v>
      </c>
      <c r="C243" t="s">
        <v>10</v>
      </c>
      <c r="D243">
        <v>1</v>
      </c>
      <c r="E243">
        <v>60</v>
      </c>
      <c r="F243">
        <v>15</v>
      </c>
      <c r="G243">
        <v>900</v>
      </c>
      <c r="H243">
        <v>90</v>
      </c>
      <c r="I243" t="s">
        <v>21</v>
      </c>
      <c r="J243" t="s">
        <v>38</v>
      </c>
    </row>
    <row r="244" spans="1:10" x14ac:dyDescent="0.25">
      <c r="A244" t="s">
        <v>110</v>
      </c>
      <c r="B244" s="1">
        <v>45210</v>
      </c>
      <c r="C244" t="s">
        <v>10</v>
      </c>
      <c r="D244">
        <v>2</v>
      </c>
      <c r="E244">
        <v>60</v>
      </c>
      <c r="F244">
        <v>12</v>
      </c>
      <c r="G244">
        <v>720</v>
      </c>
      <c r="H244">
        <v>84</v>
      </c>
      <c r="I244" t="s">
        <v>21</v>
      </c>
      <c r="J244" t="s">
        <v>38</v>
      </c>
    </row>
    <row r="245" spans="1:10" x14ac:dyDescent="0.25">
      <c r="A245" t="s">
        <v>110</v>
      </c>
      <c r="B245" s="1">
        <v>45210</v>
      </c>
      <c r="C245" t="s">
        <v>10</v>
      </c>
      <c r="D245">
        <v>3</v>
      </c>
      <c r="E245">
        <v>60</v>
      </c>
      <c r="F245">
        <v>10</v>
      </c>
      <c r="G245">
        <v>600</v>
      </c>
      <c r="H245">
        <v>80</v>
      </c>
      <c r="I245" t="s">
        <v>21</v>
      </c>
      <c r="J245" t="s">
        <v>38</v>
      </c>
    </row>
    <row r="246" spans="1:10" x14ac:dyDescent="0.25">
      <c r="A246" t="s">
        <v>110</v>
      </c>
      <c r="B246" s="1">
        <v>45210</v>
      </c>
      <c r="C246" t="s">
        <v>10</v>
      </c>
      <c r="D246">
        <v>4</v>
      </c>
      <c r="E246">
        <v>60</v>
      </c>
      <c r="F246">
        <v>9</v>
      </c>
      <c r="G246">
        <v>540</v>
      </c>
      <c r="H246">
        <v>78</v>
      </c>
      <c r="I246" t="s">
        <v>21</v>
      </c>
      <c r="J246" t="s">
        <v>38</v>
      </c>
    </row>
    <row r="247" spans="1:10" x14ac:dyDescent="0.25">
      <c r="A247" t="s">
        <v>110</v>
      </c>
      <c r="B247" s="1">
        <v>45210</v>
      </c>
      <c r="C247" t="s">
        <v>16</v>
      </c>
      <c r="D247">
        <v>1</v>
      </c>
      <c r="E247">
        <v>50</v>
      </c>
      <c r="F247">
        <v>15</v>
      </c>
      <c r="G247">
        <v>750</v>
      </c>
      <c r="H247">
        <v>75</v>
      </c>
      <c r="I247" t="s">
        <v>21</v>
      </c>
      <c r="J247" t="s">
        <v>38</v>
      </c>
    </row>
    <row r="248" spans="1:10" x14ac:dyDescent="0.25">
      <c r="A248" t="s">
        <v>110</v>
      </c>
      <c r="B248" s="1">
        <v>45210</v>
      </c>
      <c r="C248" t="s">
        <v>16</v>
      </c>
      <c r="D248">
        <v>2</v>
      </c>
      <c r="E248">
        <v>60</v>
      </c>
      <c r="F248">
        <v>15</v>
      </c>
      <c r="G248">
        <v>900</v>
      </c>
      <c r="H248">
        <v>90</v>
      </c>
      <c r="I248" t="s">
        <v>21</v>
      </c>
      <c r="J248" t="s">
        <v>38</v>
      </c>
    </row>
    <row r="249" spans="1:10" x14ac:dyDescent="0.25">
      <c r="A249" t="s">
        <v>110</v>
      </c>
      <c r="B249" s="1">
        <v>45210</v>
      </c>
      <c r="C249" t="s">
        <v>16</v>
      </c>
      <c r="D249">
        <v>3</v>
      </c>
      <c r="E249">
        <v>165</v>
      </c>
      <c r="F249">
        <v>5</v>
      </c>
      <c r="G249">
        <v>825</v>
      </c>
      <c r="H249">
        <v>192.5</v>
      </c>
      <c r="I249" t="s">
        <v>21</v>
      </c>
      <c r="J249" t="s">
        <v>38</v>
      </c>
    </row>
    <row r="250" spans="1:10" x14ac:dyDescent="0.25">
      <c r="A250" t="s">
        <v>110</v>
      </c>
      <c r="B250" s="1">
        <v>45210</v>
      </c>
      <c r="C250" t="s">
        <v>16</v>
      </c>
      <c r="D250">
        <v>4</v>
      </c>
      <c r="E250">
        <v>165</v>
      </c>
      <c r="F250">
        <v>6</v>
      </c>
      <c r="G250">
        <v>990</v>
      </c>
      <c r="H250">
        <v>198</v>
      </c>
      <c r="I250" t="s">
        <v>21</v>
      </c>
      <c r="J250" t="s">
        <v>38</v>
      </c>
    </row>
    <row r="251" spans="1:10" x14ac:dyDescent="0.25">
      <c r="A251" t="s">
        <v>111</v>
      </c>
      <c r="B251" s="1">
        <v>45211</v>
      </c>
      <c r="C251" t="s">
        <v>15</v>
      </c>
      <c r="D251">
        <v>1</v>
      </c>
      <c r="E251">
        <v>105</v>
      </c>
      <c r="F251">
        <v>12</v>
      </c>
      <c r="G251">
        <v>1260</v>
      </c>
      <c r="H251">
        <v>147</v>
      </c>
      <c r="I251" t="s">
        <v>22</v>
      </c>
      <c r="J251" t="s">
        <v>38</v>
      </c>
    </row>
    <row r="252" spans="1:10" x14ac:dyDescent="0.25">
      <c r="A252" t="s">
        <v>111</v>
      </c>
      <c r="B252" s="1">
        <v>45211</v>
      </c>
      <c r="C252" t="s">
        <v>15</v>
      </c>
      <c r="D252">
        <v>2</v>
      </c>
      <c r="E252">
        <v>145</v>
      </c>
      <c r="F252">
        <v>8</v>
      </c>
      <c r="G252">
        <v>1160</v>
      </c>
      <c r="H252">
        <v>183.67</v>
      </c>
      <c r="I252" t="s">
        <v>22</v>
      </c>
      <c r="J252" t="s">
        <v>38</v>
      </c>
    </row>
    <row r="253" spans="1:10" x14ac:dyDescent="0.25">
      <c r="A253" t="s">
        <v>111</v>
      </c>
      <c r="B253" s="1">
        <v>45211</v>
      </c>
      <c r="C253" t="s">
        <v>15</v>
      </c>
      <c r="D253">
        <v>3</v>
      </c>
      <c r="E253">
        <v>145</v>
      </c>
      <c r="F253">
        <v>8</v>
      </c>
      <c r="G253">
        <v>1160</v>
      </c>
      <c r="H253">
        <v>183.67</v>
      </c>
      <c r="I253" t="s">
        <v>22</v>
      </c>
      <c r="J253" t="s">
        <v>38</v>
      </c>
    </row>
    <row r="254" spans="1:10" x14ac:dyDescent="0.25">
      <c r="A254" t="s">
        <v>111</v>
      </c>
      <c r="B254" s="1">
        <v>45211</v>
      </c>
      <c r="C254" t="s">
        <v>17</v>
      </c>
      <c r="D254">
        <v>1</v>
      </c>
      <c r="E254">
        <v>55</v>
      </c>
      <c r="F254">
        <v>15</v>
      </c>
      <c r="G254">
        <v>825</v>
      </c>
      <c r="H254">
        <v>82.5</v>
      </c>
      <c r="I254" t="s">
        <v>22</v>
      </c>
      <c r="J254" t="s">
        <v>37</v>
      </c>
    </row>
    <row r="255" spans="1:10" x14ac:dyDescent="0.25">
      <c r="A255" t="s">
        <v>111</v>
      </c>
      <c r="B255" s="1">
        <v>45211</v>
      </c>
      <c r="C255" t="s">
        <v>17</v>
      </c>
      <c r="D255">
        <v>2</v>
      </c>
      <c r="E255">
        <v>80</v>
      </c>
      <c r="F255">
        <v>12</v>
      </c>
      <c r="G255">
        <v>960</v>
      </c>
      <c r="H255">
        <v>112</v>
      </c>
      <c r="I255" t="s">
        <v>22</v>
      </c>
      <c r="J255" t="s">
        <v>37</v>
      </c>
    </row>
    <row r="256" spans="1:10" x14ac:dyDescent="0.25">
      <c r="A256" t="s">
        <v>111</v>
      </c>
      <c r="B256" s="1">
        <v>45211</v>
      </c>
      <c r="C256" t="s">
        <v>17</v>
      </c>
      <c r="D256">
        <v>3</v>
      </c>
      <c r="E256">
        <v>95</v>
      </c>
      <c r="F256">
        <v>10</v>
      </c>
      <c r="G256">
        <v>950</v>
      </c>
      <c r="H256">
        <v>126.67</v>
      </c>
      <c r="I256" t="s">
        <v>22</v>
      </c>
      <c r="J256" t="s">
        <v>37</v>
      </c>
    </row>
    <row r="257" spans="1:10" x14ac:dyDescent="0.25">
      <c r="A257" t="s">
        <v>111</v>
      </c>
      <c r="B257" s="1">
        <v>45211</v>
      </c>
      <c r="C257" t="s">
        <v>17</v>
      </c>
      <c r="D257">
        <v>4</v>
      </c>
      <c r="E257">
        <v>95</v>
      </c>
      <c r="F257">
        <v>10</v>
      </c>
      <c r="G257">
        <v>950</v>
      </c>
      <c r="H257">
        <v>126.67</v>
      </c>
      <c r="I257" t="s">
        <v>22</v>
      </c>
      <c r="J257" t="s">
        <v>37</v>
      </c>
    </row>
    <row r="258" spans="1:10" x14ac:dyDescent="0.25">
      <c r="A258" t="s">
        <v>111</v>
      </c>
      <c r="B258" s="1">
        <v>45211</v>
      </c>
      <c r="C258" t="s">
        <v>11</v>
      </c>
      <c r="D258">
        <v>1</v>
      </c>
      <c r="E258">
        <v>135</v>
      </c>
      <c r="F258">
        <v>10</v>
      </c>
      <c r="G258">
        <v>1350</v>
      </c>
      <c r="H258">
        <v>180</v>
      </c>
      <c r="I258" t="s">
        <v>22</v>
      </c>
      <c r="J258" t="s">
        <v>37</v>
      </c>
    </row>
    <row r="259" spans="1:10" x14ac:dyDescent="0.25">
      <c r="A259" t="s">
        <v>111</v>
      </c>
      <c r="B259" s="1">
        <v>45211</v>
      </c>
      <c r="C259" t="s">
        <v>11</v>
      </c>
      <c r="D259">
        <v>2</v>
      </c>
      <c r="E259">
        <v>140</v>
      </c>
      <c r="F259">
        <v>12</v>
      </c>
      <c r="G259">
        <v>1680</v>
      </c>
      <c r="H259">
        <v>196</v>
      </c>
      <c r="I259" t="s">
        <v>22</v>
      </c>
      <c r="J259" t="s">
        <v>37</v>
      </c>
    </row>
    <row r="260" spans="1:10" x14ac:dyDescent="0.25">
      <c r="A260" t="s">
        <v>111</v>
      </c>
      <c r="B260" s="1">
        <v>45211</v>
      </c>
      <c r="C260" t="s">
        <v>11</v>
      </c>
      <c r="D260">
        <v>3</v>
      </c>
      <c r="E260">
        <v>140</v>
      </c>
      <c r="F260">
        <v>12</v>
      </c>
      <c r="G260">
        <v>1680</v>
      </c>
      <c r="H260">
        <v>196</v>
      </c>
      <c r="I260" t="s">
        <v>22</v>
      </c>
      <c r="J260" t="s">
        <v>37</v>
      </c>
    </row>
    <row r="261" spans="1:10" x14ac:dyDescent="0.25">
      <c r="A261" t="s">
        <v>112</v>
      </c>
      <c r="B261" s="1">
        <v>45217</v>
      </c>
      <c r="C261" t="s">
        <v>15</v>
      </c>
      <c r="D261">
        <v>1</v>
      </c>
      <c r="E261">
        <v>135</v>
      </c>
      <c r="F261">
        <v>10</v>
      </c>
      <c r="G261">
        <v>1350</v>
      </c>
      <c r="H261">
        <v>180</v>
      </c>
      <c r="I261" t="s">
        <v>22</v>
      </c>
      <c r="J261" t="s">
        <v>38</v>
      </c>
    </row>
    <row r="262" spans="1:10" x14ac:dyDescent="0.25">
      <c r="A262" t="s">
        <v>112</v>
      </c>
      <c r="B262" s="1">
        <v>45217</v>
      </c>
      <c r="C262" t="s">
        <v>15</v>
      </c>
      <c r="D262">
        <v>2</v>
      </c>
      <c r="E262">
        <v>150</v>
      </c>
      <c r="F262">
        <v>10</v>
      </c>
      <c r="G262">
        <v>1500</v>
      </c>
      <c r="H262">
        <v>200</v>
      </c>
      <c r="I262" t="s">
        <v>22</v>
      </c>
      <c r="J262" t="s">
        <v>38</v>
      </c>
    </row>
    <row r="263" spans="1:10" x14ac:dyDescent="0.25">
      <c r="A263" t="s">
        <v>112</v>
      </c>
      <c r="B263" s="1">
        <v>45217</v>
      </c>
      <c r="C263" t="s">
        <v>15</v>
      </c>
      <c r="D263">
        <v>3</v>
      </c>
      <c r="E263">
        <v>150</v>
      </c>
      <c r="F263">
        <v>8</v>
      </c>
      <c r="G263">
        <v>1200</v>
      </c>
      <c r="H263">
        <v>190</v>
      </c>
      <c r="I263" t="s">
        <v>22</v>
      </c>
      <c r="J263" t="s">
        <v>38</v>
      </c>
    </row>
    <row r="264" spans="1:10" x14ac:dyDescent="0.25">
      <c r="A264" t="s">
        <v>112</v>
      </c>
      <c r="B264" s="1">
        <v>45217</v>
      </c>
      <c r="C264" t="s">
        <v>17</v>
      </c>
      <c r="D264">
        <v>1</v>
      </c>
      <c r="E264">
        <v>60</v>
      </c>
      <c r="F264">
        <v>12</v>
      </c>
      <c r="G264">
        <v>720</v>
      </c>
      <c r="H264">
        <v>84</v>
      </c>
      <c r="I264" t="s">
        <v>22</v>
      </c>
      <c r="J264" t="s">
        <v>37</v>
      </c>
    </row>
    <row r="265" spans="1:10" x14ac:dyDescent="0.25">
      <c r="A265" t="s">
        <v>112</v>
      </c>
      <c r="B265" s="1">
        <v>45217</v>
      </c>
      <c r="C265" t="s">
        <v>17</v>
      </c>
      <c r="D265">
        <v>2</v>
      </c>
      <c r="E265">
        <v>60</v>
      </c>
      <c r="F265">
        <v>6</v>
      </c>
      <c r="G265">
        <v>360</v>
      </c>
      <c r="H265">
        <v>72</v>
      </c>
      <c r="I265" t="s">
        <v>22</v>
      </c>
      <c r="J265" t="s">
        <v>37</v>
      </c>
    </row>
    <row r="266" spans="1:10" x14ac:dyDescent="0.25">
      <c r="A266" t="s">
        <v>112</v>
      </c>
      <c r="B266" s="1">
        <v>45217</v>
      </c>
      <c r="C266" t="s">
        <v>17</v>
      </c>
      <c r="D266">
        <v>3</v>
      </c>
      <c r="E266">
        <v>80</v>
      </c>
      <c r="F266">
        <v>12</v>
      </c>
      <c r="G266">
        <v>960</v>
      </c>
      <c r="H266">
        <v>112</v>
      </c>
      <c r="I266" t="s">
        <v>22</v>
      </c>
      <c r="J266" t="s">
        <v>37</v>
      </c>
    </row>
    <row r="267" spans="1:10" x14ac:dyDescent="0.25">
      <c r="A267" t="s">
        <v>112</v>
      </c>
      <c r="B267" s="1">
        <v>45217</v>
      </c>
      <c r="C267" t="s">
        <v>17</v>
      </c>
      <c r="D267">
        <v>4</v>
      </c>
      <c r="E267">
        <v>100</v>
      </c>
      <c r="F267">
        <v>10</v>
      </c>
      <c r="G267">
        <v>1000</v>
      </c>
      <c r="H267">
        <v>133.33000000000001</v>
      </c>
      <c r="I267" t="s">
        <v>22</v>
      </c>
      <c r="J267" t="s">
        <v>37</v>
      </c>
    </row>
    <row r="268" spans="1:10" x14ac:dyDescent="0.25">
      <c r="A268" t="s">
        <v>112</v>
      </c>
      <c r="B268" s="1">
        <v>45217</v>
      </c>
      <c r="C268" t="s">
        <v>17</v>
      </c>
      <c r="D268">
        <v>5</v>
      </c>
      <c r="E268">
        <v>100</v>
      </c>
      <c r="F268">
        <v>10</v>
      </c>
      <c r="G268">
        <v>1000</v>
      </c>
      <c r="H268">
        <v>133.33000000000001</v>
      </c>
      <c r="I268" t="s">
        <v>22</v>
      </c>
      <c r="J268" t="s">
        <v>37</v>
      </c>
    </row>
    <row r="269" spans="1:10" x14ac:dyDescent="0.25">
      <c r="A269" t="s">
        <v>112</v>
      </c>
      <c r="B269" s="1">
        <v>45217</v>
      </c>
      <c r="C269" t="s">
        <v>11</v>
      </c>
      <c r="D269">
        <v>1</v>
      </c>
      <c r="E269">
        <v>145</v>
      </c>
      <c r="F269">
        <v>10</v>
      </c>
      <c r="G269">
        <v>1450</v>
      </c>
      <c r="H269">
        <v>193.33</v>
      </c>
      <c r="I269" t="s">
        <v>22</v>
      </c>
      <c r="J269" t="s">
        <v>37</v>
      </c>
    </row>
    <row r="270" spans="1:10" x14ac:dyDescent="0.25">
      <c r="A270" t="s">
        <v>112</v>
      </c>
      <c r="B270" s="1">
        <v>45217</v>
      </c>
      <c r="C270" t="s">
        <v>11</v>
      </c>
      <c r="D270">
        <v>2</v>
      </c>
      <c r="E270">
        <v>145</v>
      </c>
      <c r="F270">
        <v>12</v>
      </c>
      <c r="G270">
        <v>1740</v>
      </c>
      <c r="H270">
        <v>203</v>
      </c>
      <c r="I270" t="s">
        <v>22</v>
      </c>
      <c r="J270" t="s">
        <v>37</v>
      </c>
    </row>
    <row r="271" spans="1:10" x14ac:dyDescent="0.25">
      <c r="A271" t="s">
        <v>112</v>
      </c>
      <c r="B271" s="1">
        <v>45217</v>
      </c>
      <c r="C271" t="s">
        <v>11</v>
      </c>
      <c r="D271">
        <v>3</v>
      </c>
      <c r="E271">
        <v>145</v>
      </c>
      <c r="F271">
        <v>12</v>
      </c>
      <c r="G271">
        <v>1740</v>
      </c>
      <c r="H271">
        <v>203</v>
      </c>
      <c r="I271" t="s">
        <v>22</v>
      </c>
      <c r="J271" t="s">
        <v>37</v>
      </c>
    </row>
    <row r="272" spans="1:10" x14ac:dyDescent="0.25">
      <c r="A272" t="s">
        <v>113</v>
      </c>
      <c r="B272" s="1">
        <v>45218</v>
      </c>
      <c r="C272" t="s">
        <v>12</v>
      </c>
      <c r="D272">
        <v>1</v>
      </c>
      <c r="E272">
        <v>45</v>
      </c>
      <c r="F272">
        <v>12</v>
      </c>
      <c r="G272">
        <v>540</v>
      </c>
      <c r="H272">
        <v>63</v>
      </c>
      <c r="I272" t="s">
        <v>23</v>
      </c>
      <c r="J272" t="s">
        <v>37</v>
      </c>
    </row>
    <row r="273" spans="1:10" x14ac:dyDescent="0.25">
      <c r="A273" t="s">
        <v>113</v>
      </c>
      <c r="B273" s="1">
        <v>45218</v>
      </c>
      <c r="C273" t="s">
        <v>12</v>
      </c>
      <c r="D273">
        <v>2</v>
      </c>
      <c r="E273">
        <v>95</v>
      </c>
      <c r="F273">
        <v>12</v>
      </c>
      <c r="G273">
        <v>1140</v>
      </c>
      <c r="H273">
        <v>133</v>
      </c>
      <c r="I273" t="s">
        <v>23</v>
      </c>
      <c r="J273" t="s">
        <v>37</v>
      </c>
    </row>
    <row r="274" spans="1:10" x14ac:dyDescent="0.25">
      <c r="A274" t="s">
        <v>113</v>
      </c>
      <c r="B274" s="1">
        <v>45218</v>
      </c>
      <c r="C274" t="s">
        <v>12</v>
      </c>
      <c r="D274">
        <v>3</v>
      </c>
      <c r="E274">
        <v>115</v>
      </c>
      <c r="F274">
        <v>10</v>
      </c>
      <c r="G274">
        <v>1150</v>
      </c>
      <c r="H274">
        <v>153.33000000000001</v>
      </c>
      <c r="I274" t="s">
        <v>23</v>
      </c>
      <c r="J274" t="s">
        <v>37</v>
      </c>
    </row>
    <row r="275" spans="1:10" x14ac:dyDescent="0.25">
      <c r="A275" t="s">
        <v>113</v>
      </c>
      <c r="B275" s="1">
        <v>45218</v>
      </c>
      <c r="C275" t="s">
        <v>12</v>
      </c>
      <c r="D275">
        <v>4</v>
      </c>
      <c r="E275">
        <v>130</v>
      </c>
      <c r="F275">
        <v>6</v>
      </c>
      <c r="G275">
        <v>780</v>
      </c>
      <c r="H275">
        <v>156</v>
      </c>
      <c r="I275" t="s">
        <v>23</v>
      </c>
      <c r="J275" t="s">
        <v>37</v>
      </c>
    </row>
    <row r="276" spans="1:10" x14ac:dyDescent="0.25">
      <c r="A276" t="s">
        <v>113</v>
      </c>
      <c r="B276" s="1">
        <v>45218</v>
      </c>
      <c r="C276" t="s">
        <v>12</v>
      </c>
      <c r="D276">
        <v>5</v>
      </c>
      <c r="E276">
        <v>115</v>
      </c>
      <c r="F276">
        <v>10</v>
      </c>
      <c r="G276">
        <v>1150</v>
      </c>
      <c r="H276">
        <v>153.33000000000001</v>
      </c>
      <c r="I276" t="s">
        <v>23</v>
      </c>
      <c r="J276" t="s">
        <v>37</v>
      </c>
    </row>
    <row r="277" spans="1:10" x14ac:dyDescent="0.25">
      <c r="A277" t="s">
        <v>113</v>
      </c>
      <c r="B277" s="1">
        <v>45218</v>
      </c>
      <c r="C277" t="s">
        <v>12</v>
      </c>
      <c r="D277">
        <v>6</v>
      </c>
      <c r="E277">
        <v>95</v>
      </c>
      <c r="F277">
        <v>10</v>
      </c>
      <c r="G277">
        <v>950</v>
      </c>
      <c r="H277">
        <v>126.67</v>
      </c>
      <c r="I277" t="s">
        <v>23</v>
      </c>
      <c r="J277" t="s">
        <v>37</v>
      </c>
    </row>
    <row r="278" spans="1:10" x14ac:dyDescent="0.25">
      <c r="A278" t="s">
        <v>113</v>
      </c>
      <c r="B278" s="1">
        <v>45218</v>
      </c>
      <c r="C278" t="s">
        <v>13</v>
      </c>
      <c r="D278">
        <v>1</v>
      </c>
      <c r="E278">
        <v>55</v>
      </c>
      <c r="F278">
        <v>15</v>
      </c>
      <c r="G278">
        <v>825</v>
      </c>
      <c r="H278">
        <v>82.5</v>
      </c>
      <c r="I278" t="s">
        <v>23</v>
      </c>
      <c r="J278" t="s">
        <v>38</v>
      </c>
    </row>
    <row r="279" spans="1:10" x14ac:dyDescent="0.25">
      <c r="A279" t="s">
        <v>113</v>
      </c>
      <c r="B279" s="1">
        <v>45218</v>
      </c>
      <c r="C279" t="s">
        <v>13</v>
      </c>
      <c r="D279">
        <v>2</v>
      </c>
      <c r="E279">
        <v>60</v>
      </c>
      <c r="F279">
        <v>10</v>
      </c>
      <c r="G279">
        <v>600</v>
      </c>
      <c r="H279">
        <v>80</v>
      </c>
      <c r="I279" t="s">
        <v>23</v>
      </c>
      <c r="J279" t="s">
        <v>38</v>
      </c>
    </row>
    <row r="280" spans="1:10" x14ac:dyDescent="0.25">
      <c r="A280" t="s">
        <v>113</v>
      </c>
      <c r="B280" s="1">
        <v>45218</v>
      </c>
      <c r="C280" t="s">
        <v>13</v>
      </c>
      <c r="D280">
        <v>3</v>
      </c>
      <c r="E280">
        <v>60</v>
      </c>
      <c r="F280">
        <v>8</v>
      </c>
      <c r="G280">
        <v>480</v>
      </c>
      <c r="H280">
        <v>76</v>
      </c>
      <c r="I280" t="s">
        <v>23</v>
      </c>
      <c r="J280" t="s">
        <v>38</v>
      </c>
    </row>
    <row r="281" spans="1:10" x14ac:dyDescent="0.25">
      <c r="A281" t="s">
        <v>113</v>
      </c>
      <c r="B281" s="1">
        <v>45218</v>
      </c>
      <c r="C281" t="s">
        <v>13</v>
      </c>
      <c r="D281">
        <v>4</v>
      </c>
      <c r="E281">
        <v>60</v>
      </c>
      <c r="F281">
        <v>6</v>
      </c>
      <c r="G281">
        <v>360</v>
      </c>
      <c r="H281">
        <v>72</v>
      </c>
      <c r="I281" t="s">
        <v>23</v>
      </c>
      <c r="J281" t="s">
        <v>38</v>
      </c>
    </row>
    <row r="282" spans="1:10" x14ac:dyDescent="0.25">
      <c r="A282" t="s">
        <v>113</v>
      </c>
      <c r="B282" s="1">
        <v>45218</v>
      </c>
      <c r="C282" t="s">
        <v>13</v>
      </c>
      <c r="D282">
        <v>5</v>
      </c>
      <c r="E282">
        <v>55</v>
      </c>
      <c r="F282">
        <v>8</v>
      </c>
      <c r="G282">
        <v>440</v>
      </c>
      <c r="H282">
        <v>69.67</v>
      </c>
      <c r="I282" t="s">
        <v>23</v>
      </c>
      <c r="J282" t="s">
        <v>38</v>
      </c>
    </row>
    <row r="283" spans="1:10" x14ac:dyDescent="0.25">
      <c r="A283" t="s">
        <v>113</v>
      </c>
      <c r="B283" s="1">
        <v>45218</v>
      </c>
      <c r="C283" t="s">
        <v>14</v>
      </c>
      <c r="D283">
        <v>1</v>
      </c>
      <c r="E283">
        <v>45</v>
      </c>
      <c r="F283">
        <v>10</v>
      </c>
      <c r="G283">
        <v>450</v>
      </c>
      <c r="H283">
        <v>60</v>
      </c>
      <c r="I283" t="s">
        <v>23</v>
      </c>
      <c r="J283" t="s">
        <v>37</v>
      </c>
    </row>
    <row r="284" spans="1:10" x14ac:dyDescent="0.25">
      <c r="A284" t="s">
        <v>113</v>
      </c>
      <c r="B284" s="1">
        <v>45218</v>
      </c>
      <c r="C284" t="s">
        <v>14</v>
      </c>
      <c r="D284">
        <v>2</v>
      </c>
      <c r="E284">
        <v>65</v>
      </c>
      <c r="F284">
        <v>10</v>
      </c>
      <c r="G284">
        <v>650</v>
      </c>
      <c r="H284">
        <v>86.67</v>
      </c>
      <c r="I284" t="s">
        <v>23</v>
      </c>
      <c r="J284" t="s">
        <v>37</v>
      </c>
    </row>
    <row r="285" spans="1:10" x14ac:dyDescent="0.25">
      <c r="A285" t="s">
        <v>113</v>
      </c>
      <c r="B285" s="1">
        <v>45218</v>
      </c>
      <c r="C285" t="s">
        <v>14</v>
      </c>
      <c r="D285">
        <v>3</v>
      </c>
      <c r="E285">
        <v>70</v>
      </c>
      <c r="F285">
        <v>8</v>
      </c>
      <c r="G285">
        <v>560</v>
      </c>
      <c r="H285">
        <v>88.67</v>
      </c>
      <c r="I285" t="s">
        <v>23</v>
      </c>
      <c r="J285" t="s">
        <v>37</v>
      </c>
    </row>
    <row r="286" spans="1:10" x14ac:dyDescent="0.25">
      <c r="A286" t="s">
        <v>113</v>
      </c>
      <c r="B286" s="1">
        <v>45218</v>
      </c>
      <c r="C286" t="s">
        <v>14</v>
      </c>
      <c r="D286">
        <v>4</v>
      </c>
      <c r="E286">
        <v>70</v>
      </c>
      <c r="F286">
        <v>6</v>
      </c>
      <c r="G286">
        <v>420</v>
      </c>
      <c r="H286">
        <v>84</v>
      </c>
      <c r="I286" t="s">
        <v>23</v>
      </c>
      <c r="J286" t="s">
        <v>37</v>
      </c>
    </row>
    <row r="287" spans="1:10" x14ac:dyDescent="0.25">
      <c r="A287" t="s">
        <v>113</v>
      </c>
      <c r="B287" s="1">
        <v>45218</v>
      </c>
      <c r="C287" t="s">
        <v>14</v>
      </c>
      <c r="D287">
        <v>5</v>
      </c>
      <c r="E287">
        <v>65</v>
      </c>
      <c r="F287">
        <v>8</v>
      </c>
      <c r="G287">
        <v>520</v>
      </c>
      <c r="H287">
        <v>82.33</v>
      </c>
      <c r="I287" t="s">
        <v>23</v>
      </c>
      <c r="J287" t="s">
        <v>37</v>
      </c>
    </row>
    <row r="288" spans="1:10" x14ac:dyDescent="0.25">
      <c r="A288" t="s">
        <v>113</v>
      </c>
      <c r="B288" s="1">
        <v>45218</v>
      </c>
      <c r="C288" t="s">
        <v>45</v>
      </c>
      <c r="D288">
        <v>1</v>
      </c>
      <c r="E288">
        <v>5</v>
      </c>
      <c r="F288">
        <v>20</v>
      </c>
      <c r="G288">
        <v>100</v>
      </c>
      <c r="H288">
        <v>8.33</v>
      </c>
      <c r="I288" t="s">
        <v>23</v>
      </c>
      <c r="J288" t="s">
        <v>38</v>
      </c>
    </row>
    <row r="289" spans="1:10" x14ac:dyDescent="0.25">
      <c r="A289" t="s">
        <v>113</v>
      </c>
      <c r="B289" s="1">
        <v>45218</v>
      </c>
      <c r="C289" t="s">
        <v>45</v>
      </c>
      <c r="D289">
        <v>2</v>
      </c>
      <c r="E289">
        <v>10</v>
      </c>
      <c r="F289">
        <v>18</v>
      </c>
      <c r="G289">
        <v>180</v>
      </c>
      <c r="H289">
        <v>16</v>
      </c>
      <c r="I289" t="s">
        <v>23</v>
      </c>
      <c r="J289" t="s">
        <v>38</v>
      </c>
    </row>
    <row r="290" spans="1:10" x14ac:dyDescent="0.25">
      <c r="A290" t="s">
        <v>113</v>
      </c>
      <c r="B290" s="1">
        <v>45218</v>
      </c>
      <c r="C290" t="s">
        <v>45</v>
      </c>
      <c r="D290">
        <v>3</v>
      </c>
      <c r="E290">
        <v>5</v>
      </c>
      <c r="F290">
        <v>20</v>
      </c>
      <c r="G290">
        <v>100</v>
      </c>
      <c r="H290">
        <v>8.33</v>
      </c>
      <c r="I290" t="s">
        <v>23</v>
      </c>
      <c r="J290" t="s">
        <v>38</v>
      </c>
    </row>
    <row r="291" spans="1:10" x14ac:dyDescent="0.25">
      <c r="A291" t="s">
        <v>113</v>
      </c>
      <c r="B291" s="1">
        <v>45218</v>
      </c>
      <c r="C291" t="s">
        <v>45</v>
      </c>
      <c r="D291">
        <v>4</v>
      </c>
      <c r="E291">
        <v>10</v>
      </c>
      <c r="F291">
        <v>14</v>
      </c>
      <c r="G291">
        <v>140</v>
      </c>
      <c r="H291">
        <v>14.67</v>
      </c>
      <c r="I291" t="s">
        <v>23</v>
      </c>
      <c r="J291" t="s">
        <v>38</v>
      </c>
    </row>
    <row r="292" spans="1:10" x14ac:dyDescent="0.25">
      <c r="A292" t="s">
        <v>113</v>
      </c>
      <c r="B292" s="1">
        <v>45218</v>
      </c>
      <c r="C292" t="s">
        <v>45</v>
      </c>
      <c r="D292">
        <v>5</v>
      </c>
      <c r="E292">
        <v>5</v>
      </c>
      <c r="F292">
        <v>20</v>
      </c>
      <c r="G292">
        <v>100</v>
      </c>
      <c r="H292">
        <v>8.33</v>
      </c>
      <c r="I292" t="s">
        <v>23</v>
      </c>
      <c r="J292" t="s">
        <v>38</v>
      </c>
    </row>
    <row r="293" spans="1:10" x14ac:dyDescent="0.25">
      <c r="A293" t="s">
        <v>114</v>
      </c>
      <c r="B293" s="1">
        <v>45220</v>
      </c>
      <c r="C293" t="s">
        <v>15</v>
      </c>
      <c r="D293">
        <v>1</v>
      </c>
      <c r="E293">
        <v>150</v>
      </c>
      <c r="F293">
        <v>10</v>
      </c>
      <c r="G293">
        <v>1500</v>
      </c>
      <c r="H293">
        <v>200</v>
      </c>
      <c r="I293" t="s">
        <v>22</v>
      </c>
      <c r="J293" t="s">
        <v>38</v>
      </c>
    </row>
    <row r="294" spans="1:10" x14ac:dyDescent="0.25">
      <c r="A294" t="s">
        <v>114</v>
      </c>
      <c r="B294" s="1">
        <v>45220</v>
      </c>
      <c r="C294" t="s">
        <v>15</v>
      </c>
      <c r="D294">
        <v>2</v>
      </c>
      <c r="E294">
        <v>155</v>
      </c>
      <c r="F294">
        <v>10</v>
      </c>
      <c r="G294">
        <v>1550</v>
      </c>
      <c r="H294">
        <v>206.67</v>
      </c>
      <c r="I294" t="s">
        <v>22</v>
      </c>
      <c r="J294" t="s">
        <v>38</v>
      </c>
    </row>
    <row r="295" spans="1:10" x14ac:dyDescent="0.25">
      <c r="A295" t="s">
        <v>114</v>
      </c>
      <c r="B295" s="1">
        <v>45220</v>
      </c>
      <c r="C295" t="s">
        <v>17</v>
      </c>
      <c r="D295">
        <v>1</v>
      </c>
      <c r="E295">
        <v>65</v>
      </c>
      <c r="F295">
        <v>15</v>
      </c>
      <c r="G295">
        <v>975</v>
      </c>
      <c r="H295">
        <v>97.5</v>
      </c>
      <c r="I295" t="s">
        <v>22</v>
      </c>
      <c r="J295" t="s">
        <v>37</v>
      </c>
    </row>
    <row r="296" spans="1:10" x14ac:dyDescent="0.25">
      <c r="A296" t="s">
        <v>114</v>
      </c>
      <c r="B296" s="1">
        <v>45220</v>
      </c>
      <c r="C296" t="s">
        <v>17</v>
      </c>
      <c r="D296">
        <v>2</v>
      </c>
      <c r="E296">
        <v>95</v>
      </c>
      <c r="F296">
        <v>12</v>
      </c>
      <c r="G296">
        <v>1140</v>
      </c>
      <c r="H296">
        <v>133</v>
      </c>
      <c r="I296" t="s">
        <v>22</v>
      </c>
      <c r="J296" t="s">
        <v>37</v>
      </c>
    </row>
    <row r="297" spans="1:10" x14ac:dyDescent="0.25">
      <c r="A297" t="s">
        <v>114</v>
      </c>
      <c r="B297" s="1">
        <v>45220</v>
      </c>
      <c r="C297" t="s">
        <v>17</v>
      </c>
      <c r="D297">
        <v>3</v>
      </c>
      <c r="E297">
        <v>105</v>
      </c>
      <c r="F297">
        <v>9</v>
      </c>
      <c r="G297">
        <v>945</v>
      </c>
      <c r="H297">
        <v>136.5</v>
      </c>
      <c r="I297" t="s">
        <v>22</v>
      </c>
      <c r="J297" t="s">
        <v>37</v>
      </c>
    </row>
    <row r="298" spans="1:10" x14ac:dyDescent="0.25">
      <c r="A298" t="s">
        <v>114</v>
      </c>
      <c r="B298" s="1">
        <v>45220</v>
      </c>
      <c r="C298" t="s">
        <v>17</v>
      </c>
      <c r="D298">
        <v>4</v>
      </c>
      <c r="E298">
        <v>105</v>
      </c>
      <c r="F298">
        <v>11</v>
      </c>
      <c r="G298">
        <v>1155</v>
      </c>
      <c r="H298">
        <v>143.5</v>
      </c>
      <c r="I298" t="s">
        <v>22</v>
      </c>
      <c r="J298" t="s">
        <v>37</v>
      </c>
    </row>
    <row r="299" spans="1:10" x14ac:dyDescent="0.25">
      <c r="A299" t="s">
        <v>114</v>
      </c>
      <c r="B299" s="1">
        <v>45220</v>
      </c>
      <c r="C299" t="s">
        <v>17</v>
      </c>
      <c r="D299">
        <v>5</v>
      </c>
      <c r="E299">
        <v>95</v>
      </c>
      <c r="F299">
        <v>10</v>
      </c>
      <c r="G299">
        <v>950</v>
      </c>
      <c r="H299">
        <v>126.67</v>
      </c>
      <c r="I299" t="s">
        <v>22</v>
      </c>
      <c r="J299" t="s">
        <v>37</v>
      </c>
    </row>
    <row r="300" spans="1:10" x14ac:dyDescent="0.25">
      <c r="A300" t="s">
        <v>114</v>
      </c>
      <c r="B300" s="1">
        <v>45220</v>
      </c>
      <c r="C300" t="s">
        <v>11</v>
      </c>
      <c r="D300">
        <v>1</v>
      </c>
      <c r="E300">
        <v>150</v>
      </c>
      <c r="F300">
        <v>10</v>
      </c>
      <c r="G300">
        <v>1500</v>
      </c>
      <c r="H300">
        <v>200</v>
      </c>
      <c r="I300" t="s">
        <v>22</v>
      </c>
      <c r="J300" t="s">
        <v>37</v>
      </c>
    </row>
    <row r="301" spans="1:10" x14ac:dyDescent="0.25">
      <c r="A301" t="s">
        <v>114</v>
      </c>
      <c r="B301" s="1">
        <v>45220</v>
      </c>
      <c r="C301" t="s">
        <v>11</v>
      </c>
      <c r="D301">
        <v>2</v>
      </c>
      <c r="E301">
        <v>150</v>
      </c>
      <c r="F301">
        <v>12</v>
      </c>
      <c r="G301">
        <v>1800</v>
      </c>
      <c r="H301">
        <v>210</v>
      </c>
      <c r="I301" t="s">
        <v>22</v>
      </c>
      <c r="J301" t="s">
        <v>37</v>
      </c>
    </row>
    <row r="302" spans="1:10" x14ac:dyDescent="0.25">
      <c r="A302" t="s">
        <v>114</v>
      </c>
      <c r="B302" s="1">
        <v>45220</v>
      </c>
      <c r="C302" t="s">
        <v>11</v>
      </c>
      <c r="D302">
        <v>3</v>
      </c>
      <c r="E302">
        <v>150</v>
      </c>
      <c r="F302">
        <v>12</v>
      </c>
      <c r="G302">
        <v>1800</v>
      </c>
      <c r="H302">
        <v>210</v>
      </c>
      <c r="I302" t="s">
        <v>22</v>
      </c>
      <c r="J302" t="s">
        <v>37</v>
      </c>
    </row>
    <row r="303" spans="1:10" x14ac:dyDescent="0.25">
      <c r="A303" t="s">
        <v>115</v>
      </c>
      <c r="B303" s="1">
        <v>45222</v>
      </c>
      <c r="C303" t="s">
        <v>12</v>
      </c>
      <c r="D303">
        <v>1</v>
      </c>
      <c r="E303">
        <v>45</v>
      </c>
      <c r="F303">
        <v>12</v>
      </c>
      <c r="G303">
        <v>540</v>
      </c>
      <c r="H303">
        <v>63</v>
      </c>
      <c r="I303" t="s">
        <v>23</v>
      </c>
      <c r="J303" t="s">
        <v>37</v>
      </c>
    </row>
    <row r="304" spans="1:10" x14ac:dyDescent="0.25">
      <c r="A304" t="s">
        <v>115</v>
      </c>
      <c r="B304" s="1">
        <v>45222</v>
      </c>
      <c r="C304" t="s">
        <v>12</v>
      </c>
      <c r="D304">
        <v>2</v>
      </c>
      <c r="E304">
        <v>95</v>
      </c>
      <c r="F304">
        <v>12</v>
      </c>
      <c r="G304">
        <v>1140</v>
      </c>
      <c r="H304">
        <v>133</v>
      </c>
      <c r="I304" t="s">
        <v>23</v>
      </c>
      <c r="J304" t="s">
        <v>37</v>
      </c>
    </row>
    <row r="305" spans="1:10" x14ac:dyDescent="0.25">
      <c r="A305" t="s">
        <v>115</v>
      </c>
      <c r="B305" s="1">
        <v>45222</v>
      </c>
      <c r="C305" t="s">
        <v>12</v>
      </c>
      <c r="D305">
        <v>3</v>
      </c>
      <c r="E305">
        <v>135</v>
      </c>
      <c r="F305">
        <v>6</v>
      </c>
      <c r="G305">
        <v>810</v>
      </c>
      <c r="H305">
        <v>162</v>
      </c>
      <c r="I305" t="s">
        <v>23</v>
      </c>
      <c r="J305" t="s">
        <v>37</v>
      </c>
    </row>
    <row r="306" spans="1:10" x14ac:dyDescent="0.25">
      <c r="A306" t="s">
        <v>115</v>
      </c>
      <c r="B306" s="1">
        <v>45222</v>
      </c>
      <c r="C306" t="s">
        <v>12</v>
      </c>
      <c r="D306">
        <v>4</v>
      </c>
      <c r="E306">
        <v>120</v>
      </c>
      <c r="F306">
        <v>10</v>
      </c>
      <c r="G306">
        <v>1200</v>
      </c>
      <c r="H306">
        <v>160</v>
      </c>
      <c r="I306" t="s">
        <v>23</v>
      </c>
      <c r="J306" t="s">
        <v>37</v>
      </c>
    </row>
    <row r="307" spans="1:10" x14ac:dyDescent="0.25">
      <c r="A307" t="s">
        <v>115</v>
      </c>
      <c r="B307" s="1">
        <v>45222</v>
      </c>
      <c r="C307" t="s">
        <v>12</v>
      </c>
      <c r="D307">
        <v>5</v>
      </c>
      <c r="E307">
        <v>120</v>
      </c>
      <c r="F307">
        <v>8</v>
      </c>
      <c r="G307">
        <v>960</v>
      </c>
      <c r="H307">
        <v>152</v>
      </c>
      <c r="I307" t="s">
        <v>23</v>
      </c>
      <c r="J307" t="s">
        <v>37</v>
      </c>
    </row>
    <row r="308" spans="1:10" x14ac:dyDescent="0.25">
      <c r="A308" t="s">
        <v>115</v>
      </c>
      <c r="B308" s="1">
        <v>45222</v>
      </c>
      <c r="C308" t="s">
        <v>12</v>
      </c>
      <c r="D308">
        <v>6</v>
      </c>
      <c r="E308">
        <v>95</v>
      </c>
      <c r="F308">
        <v>10</v>
      </c>
      <c r="G308">
        <v>950</v>
      </c>
      <c r="H308">
        <v>126.67</v>
      </c>
      <c r="I308" t="s">
        <v>23</v>
      </c>
      <c r="J308" t="s">
        <v>37</v>
      </c>
    </row>
    <row r="309" spans="1:10" x14ac:dyDescent="0.25">
      <c r="A309" t="s">
        <v>115</v>
      </c>
      <c r="B309" s="1">
        <v>45222</v>
      </c>
      <c r="C309" t="s">
        <v>13</v>
      </c>
      <c r="D309">
        <v>1</v>
      </c>
      <c r="E309">
        <v>60</v>
      </c>
      <c r="F309">
        <v>14</v>
      </c>
      <c r="G309">
        <v>840</v>
      </c>
      <c r="H309">
        <v>88</v>
      </c>
      <c r="I309" t="s">
        <v>23</v>
      </c>
      <c r="J309" t="s">
        <v>38</v>
      </c>
    </row>
    <row r="310" spans="1:10" x14ac:dyDescent="0.25">
      <c r="A310" t="s">
        <v>115</v>
      </c>
      <c r="B310" s="1">
        <v>45222</v>
      </c>
      <c r="C310" t="s">
        <v>13</v>
      </c>
      <c r="D310">
        <v>2</v>
      </c>
      <c r="E310">
        <v>60</v>
      </c>
      <c r="F310">
        <v>11</v>
      </c>
      <c r="G310">
        <v>660</v>
      </c>
      <c r="H310">
        <v>82</v>
      </c>
      <c r="I310" t="s">
        <v>23</v>
      </c>
      <c r="J310" t="s">
        <v>38</v>
      </c>
    </row>
    <row r="311" spans="1:10" x14ac:dyDescent="0.25">
      <c r="A311" t="s">
        <v>115</v>
      </c>
      <c r="B311" s="1">
        <v>45222</v>
      </c>
      <c r="C311" t="s">
        <v>13</v>
      </c>
      <c r="D311">
        <v>3</v>
      </c>
      <c r="E311">
        <v>60</v>
      </c>
      <c r="F311">
        <v>9</v>
      </c>
      <c r="G311">
        <v>540</v>
      </c>
      <c r="H311">
        <v>78</v>
      </c>
      <c r="I311" t="s">
        <v>23</v>
      </c>
      <c r="J311" t="s">
        <v>38</v>
      </c>
    </row>
    <row r="312" spans="1:10" x14ac:dyDescent="0.25">
      <c r="A312" t="s">
        <v>115</v>
      </c>
      <c r="B312" s="1">
        <v>45222</v>
      </c>
      <c r="C312" t="s">
        <v>13</v>
      </c>
      <c r="D312">
        <v>4</v>
      </c>
      <c r="E312">
        <v>60</v>
      </c>
      <c r="F312">
        <v>9</v>
      </c>
      <c r="G312">
        <v>540</v>
      </c>
      <c r="H312">
        <v>78</v>
      </c>
      <c r="I312" t="s">
        <v>23</v>
      </c>
      <c r="J312" t="s">
        <v>38</v>
      </c>
    </row>
    <row r="313" spans="1:10" x14ac:dyDescent="0.25">
      <c r="A313" t="s">
        <v>115</v>
      </c>
      <c r="B313" s="1">
        <v>45222</v>
      </c>
      <c r="C313" t="s">
        <v>14</v>
      </c>
      <c r="D313">
        <v>1</v>
      </c>
      <c r="E313">
        <v>45</v>
      </c>
      <c r="F313">
        <v>10</v>
      </c>
      <c r="G313">
        <v>450</v>
      </c>
      <c r="H313">
        <v>60</v>
      </c>
      <c r="I313" t="s">
        <v>23</v>
      </c>
      <c r="J313" t="s">
        <v>37</v>
      </c>
    </row>
    <row r="314" spans="1:10" x14ac:dyDescent="0.25">
      <c r="A314" t="s">
        <v>115</v>
      </c>
      <c r="B314" s="1">
        <v>45222</v>
      </c>
      <c r="C314" t="s">
        <v>14</v>
      </c>
      <c r="D314">
        <v>2</v>
      </c>
      <c r="E314">
        <v>65</v>
      </c>
      <c r="F314">
        <v>10</v>
      </c>
      <c r="G314">
        <v>650</v>
      </c>
      <c r="H314">
        <v>86.67</v>
      </c>
      <c r="I314" t="s">
        <v>23</v>
      </c>
      <c r="J314" t="s">
        <v>37</v>
      </c>
    </row>
    <row r="315" spans="1:10" x14ac:dyDescent="0.25">
      <c r="A315" t="s">
        <v>115</v>
      </c>
      <c r="B315" s="1">
        <v>45222</v>
      </c>
      <c r="C315" t="s">
        <v>14</v>
      </c>
      <c r="D315">
        <v>3</v>
      </c>
      <c r="E315">
        <v>70</v>
      </c>
      <c r="F315">
        <v>8</v>
      </c>
      <c r="G315">
        <v>560</v>
      </c>
      <c r="H315">
        <v>88.67</v>
      </c>
      <c r="I315" t="s">
        <v>23</v>
      </c>
      <c r="J315" t="s">
        <v>37</v>
      </c>
    </row>
    <row r="316" spans="1:10" x14ac:dyDescent="0.25">
      <c r="A316" t="s">
        <v>115</v>
      </c>
      <c r="B316" s="1">
        <v>45222</v>
      </c>
      <c r="C316" t="s">
        <v>14</v>
      </c>
      <c r="D316">
        <v>4</v>
      </c>
      <c r="E316">
        <v>70</v>
      </c>
      <c r="F316">
        <v>9</v>
      </c>
      <c r="G316">
        <v>630</v>
      </c>
      <c r="H316">
        <v>91</v>
      </c>
      <c r="I316" t="s">
        <v>23</v>
      </c>
      <c r="J316" t="s">
        <v>37</v>
      </c>
    </row>
    <row r="317" spans="1:10" x14ac:dyDescent="0.25">
      <c r="A317" t="s">
        <v>115</v>
      </c>
      <c r="B317" s="1">
        <v>45222</v>
      </c>
      <c r="C317" t="s">
        <v>14</v>
      </c>
      <c r="D317">
        <v>5</v>
      </c>
      <c r="E317">
        <v>70</v>
      </c>
      <c r="F317">
        <v>7</v>
      </c>
      <c r="G317">
        <v>490</v>
      </c>
      <c r="H317">
        <v>86.33</v>
      </c>
      <c r="I317" t="s">
        <v>23</v>
      </c>
      <c r="J317" t="s">
        <v>37</v>
      </c>
    </row>
    <row r="318" spans="1:10" x14ac:dyDescent="0.25">
      <c r="A318" t="s">
        <v>115</v>
      </c>
      <c r="B318" s="1">
        <v>45222</v>
      </c>
      <c r="C318" t="s">
        <v>45</v>
      </c>
      <c r="D318">
        <v>1</v>
      </c>
      <c r="E318">
        <v>5</v>
      </c>
      <c r="F318">
        <v>20</v>
      </c>
      <c r="G318">
        <v>100</v>
      </c>
      <c r="H318">
        <v>8.33</v>
      </c>
      <c r="I318" t="s">
        <v>23</v>
      </c>
      <c r="J318" t="s">
        <v>38</v>
      </c>
    </row>
    <row r="319" spans="1:10" x14ac:dyDescent="0.25">
      <c r="A319" t="s">
        <v>115</v>
      </c>
      <c r="B319" s="1">
        <v>45222</v>
      </c>
      <c r="C319" t="s">
        <v>45</v>
      </c>
      <c r="D319">
        <v>2</v>
      </c>
      <c r="E319">
        <v>5</v>
      </c>
      <c r="F319">
        <v>20</v>
      </c>
      <c r="G319">
        <v>100</v>
      </c>
      <c r="H319">
        <v>8.33</v>
      </c>
      <c r="I319" t="s">
        <v>23</v>
      </c>
      <c r="J319" t="s">
        <v>38</v>
      </c>
    </row>
    <row r="320" spans="1:10" x14ac:dyDescent="0.25">
      <c r="A320" t="s">
        <v>115</v>
      </c>
      <c r="B320" s="1">
        <v>45222</v>
      </c>
      <c r="C320" t="s">
        <v>45</v>
      </c>
      <c r="D320">
        <v>3</v>
      </c>
      <c r="E320">
        <v>10</v>
      </c>
      <c r="F320">
        <v>15</v>
      </c>
      <c r="G320">
        <v>150</v>
      </c>
      <c r="H320">
        <v>15</v>
      </c>
      <c r="I320" t="s">
        <v>23</v>
      </c>
      <c r="J320" t="s">
        <v>38</v>
      </c>
    </row>
    <row r="321" spans="1:10" x14ac:dyDescent="0.25">
      <c r="A321" t="s">
        <v>115</v>
      </c>
      <c r="B321" s="1">
        <v>45222</v>
      </c>
      <c r="C321" t="s">
        <v>45</v>
      </c>
      <c r="D321">
        <v>4</v>
      </c>
      <c r="E321">
        <v>5</v>
      </c>
      <c r="F321">
        <v>20</v>
      </c>
      <c r="G321">
        <v>100</v>
      </c>
      <c r="H321">
        <v>8.33</v>
      </c>
      <c r="I321" t="s">
        <v>23</v>
      </c>
      <c r="J321" t="s">
        <v>38</v>
      </c>
    </row>
    <row r="322" spans="1:10" x14ac:dyDescent="0.25">
      <c r="A322" t="s">
        <v>116</v>
      </c>
      <c r="B322" s="1">
        <v>45223</v>
      </c>
      <c r="C322" t="s">
        <v>9</v>
      </c>
      <c r="D322">
        <v>1</v>
      </c>
      <c r="E322">
        <v>95</v>
      </c>
      <c r="F322">
        <v>10</v>
      </c>
      <c r="G322">
        <v>950</v>
      </c>
      <c r="H322">
        <v>126.67</v>
      </c>
      <c r="I322" t="s">
        <v>21</v>
      </c>
      <c r="J322" t="s">
        <v>37</v>
      </c>
    </row>
    <row r="323" spans="1:10" x14ac:dyDescent="0.25">
      <c r="A323" t="s">
        <v>116</v>
      </c>
      <c r="B323" s="1">
        <v>45223</v>
      </c>
      <c r="C323" t="s">
        <v>9</v>
      </c>
      <c r="D323">
        <v>2</v>
      </c>
      <c r="E323">
        <v>105</v>
      </c>
      <c r="F323">
        <v>12</v>
      </c>
      <c r="G323">
        <v>1260</v>
      </c>
      <c r="H323">
        <v>147</v>
      </c>
      <c r="I323" t="s">
        <v>21</v>
      </c>
      <c r="J323" t="s">
        <v>37</v>
      </c>
    </row>
    <row r="324" spans="1:10" x14ac:dyDescent="0.25">
      <c r="A324" t="s">
        <v>116</v>
      </c>
      <c r="B324" s="1">
        <v>45223</v>
      </c>
      <c r="C324" t="s">
        <v>9</v>
      </c>
      <c r="D324">
        <v>3</v>
      </c>
      <c r="E324">
        <v>105</v>
      </c>
      <c r="F324">
        <v>12</v>
      </c>
      <c r="G324">
        <v>1260</v>
      </c>
      <c r="H324">
        <v>147</v>
      </c>
      <c r="I324" t="s">
        <v>21</v>
      </c>
      <c r="J324" t="s">
        <v>37</v>
      </c>
    </row>
    <row r="325" spans="1:10" x14ac:dyDescent="0.25">
      <c r="A325" t="s">
        <v>116</v>
      </c>
      <c r="B325" s="1">
        <v>45223</v>
      </c>
      <c r="C325" t="s">
        <v>9</v>
      </c>
      <c r="D325">
        <v>4</v>
      </c>
      <c r="E325">
        <v>95</v>
      </c>
      <c r="F325">
        <v>12</v>
      </c>
      <c r="G325">
        <v>1140</v>
      </c>
      <c r="H325">
        <v>133</v>
      </c>
      <c r="I325" t="s">
        <v>21</v>
      </c>
      <c r="J325" t="s">
        <v>37</v>
      </c>
    </row>
    <row r="326" spans="1:10" x14ac:dyDescent="0.25">
      <c r="A326" t="s">
        <v>116</v>
      </c>
      <c r="B326" s="1">
        <v>45223</v>
      </c>
      <c r="C326" t="s">
        <v>10</v>
      </c>
      <c r="D326">
        <v>1</v>
      </c>
      <c r="E326">
        <v>65</v>
      </c>
      <c r="F326">
        <v>14</v>
      </c>
      <c r="G326">
        <v>910</v>
      </c>
      <c r="H326">
        <v>95.33</v>
      </c>
      <c r="I326" t="s">
        <v>21</v>
      </c>
      <c r="J326" t="s">
        <v>38</v>
      </c>
    </row>
    <row r="327" spans="1:10" x14ac:dyDescent="0.25">
      <c r="A327" t="s">
        <v>116</v>
      </c>
      <c r="B327" s="1">
        <v>45223</v>
      </c>
      <c r="C327" t="s">
        <v>10</v>
      </c>
      <c r="D327">
        <v>2</v>
      </c>
      <c r="E327">
        <v>65</v>
      </c>
      <c r="F327">
        <v>10</v>
      </c>
      <c r="G327">
        <v>650</v>
      </c>
      <c r="H327">
        <v>86.67</v>
      </c>
      <c r="I327" t="s">
        <v>21</v>
      </c>
      <c r="J327" t="s">
        <v>38</v>
      </c>
    </row>
    <row r="328" spans="1:10" x14ac:dyDescent="0.25">
      <c r="A328" t="s">
        <v>116</v>
      </c>
      <c r="B328" s="1">
        <v>45223</v>
      </c>
      <c r="C328" t="s">
        <v>10</v>
      </c>
      <c r="D328">
        <v>3</v>
      </c>
      <c r="E328">
        <v>65</v>
      </c>
      <c r="F328">
        <v>8</v>
      </c>
      <c r="G328">
        <v>520</v>
      </c>
      <c r="H328">
        <v>82.33</v>
      </c>
      <c r="I328" t="s">
        <v>21</v>
      </c>
      <c r="J328" t="s">
        <v>38</v>
      </c>
    </row>
    <row r="329" spans="1:10" x14ac:dyDescent="0.25">
      <c r="A329" t="s">
        <v>116</v>
      </c>
      <c r="B329" s="1">
        <v>45223</v>
      </c>
      <c r="C329" t="s">
        <v>10</v>
      </c>
      <c r="D329">
        <v>4</v>
      </c>
      <c r="E329">
        <v>65</v>
      </c>
      <c r="F329">
        <v>6</v>
      </c>
      <c r="G329">
        <v>390</v>
      </c>
      <c r="H329">
        <v>78</v>
      </c>
      <c r="I329" t="s">
        <v>21</v>
      </c>
      <c r="J329" t="s">
        <v>38</v>
      </c>
    </row>
    <row r="330" spans="1:10" x14ac:dyDescent="0.25">
      <c r="A330" t="s">
        <v>116</v>
      </c>
      <c r="B330" s="1">
        <v>45223</v>
      </c>
      <c r="C330" t="s">
        <v>10</v>
      </c>
      <c r="D330">
        <v>5</v>
      </c>
      <c r="E330">
        <v>15</v>
      </c>
      <c r="F330">
        <v>15</v>
      </c>
      <c r="G330">
        <v>225</v>
      </c>
      <c r="H330">
        <v>22.5</v>
      </c>
      <c r="I330" t="s">
        <v>21</v>
      </c>
      <c r="J330" t="s">
        <v>38</v>
      </c>
    </row>
    <row r="331" spans="1:10" x14ac:dyDescent="0.25">
      <c r="A331" t="s">
        <v>116</v>
      </c>
      <c r="B331" s="1">
        <v>45223</v>
      </c>
      <c r="C331" t="s">
        <v>16</v>
      </c>
      <c r="D331">
        <v>1</v>
      </c>
      <c r="E331">
        <v>55</v>
      </c>
      <c r="F331">
        <v>12</v>
      </c>
      <c r="G331">
        <v>660</v>
      </c>
      <c r="H331">
        <v>77</v>
      </c>
      <c r="I331" t="s">
        <v>21</v>
      </c>
      <c r="J331" t="s">
        <v>38</v>
      </c>
    </row>
    <row r="332" spans="1:10" x14ac:dyDescent="0.25">
      <c r="A332" t="s">
        <v>116</v>
      </c>
      <c r="B332" s="1">
        <v>45223</v>
      </c>
      <c r="C332" t="s">
        <v>16</v>
      </c>
      <c r="D332">
        <v>2</v>
      </c>
      <c r="E332">
        <v>55</v>
      </c>
      <c r="F332">
        <v>12</v>
      </c>
      <c r="G332">
        <v>660</v>
      </c>
      <c r="H332">
        <v>77</v>
      </c>
      <c r="I332" t="s">
        <v>21</v>
      </c>
      <c r="J332" t="s">
        <v>38</v>
      </c>
    </row>
    <row r="333" spans="1:10" x14ac:dyDescent="0.25">
      <c r="A333" t="s">
        <v>116</v>
      </c>
      <c r="B333" s="1">
        <v>45223</v>
      </c>
      <c r="C333" t="s">
        <v>16</v>
      </c>
      <c r="D333">
        <v>3</v>
      </c>
      <c r="E333">
        <v>60</v>
      </c>
      <c r="F333">
        <v>12</v>
      </c>
      <c r="G333">
        <v>720</v>
      </c>
      <c r="H333">
        <v>84</v>
      </c>
      <c r="I333" t="s">
        <v>21</v>
      </c>
      <c r="J333" t="s">
        <v>38</v>
      </c>
    </row>
    <row r="334" spans="1:10" x14ac:dyDescent="0.25">
      <c r="A334" t="s">
        <v>116</v>
      </c>
      <c r="B334" s="1">
        <v>45223</v>
      </c>
      <c r="C334" t="s">
        <v>19</v>
      </c>
      <c r="D334">
        <v>1</v>
      </c>
      <c r="E334">
        <v>167</v>
      </c>
      <c r="F334">
        <v>4</v>
      </c>
      <c r="G334">
        <v>668</v>
      </c>
      <c r="H334">
        <v>189.27</v>
      </c>
      <c r="I334" t="s">
        <v>21</v>
      </c>
      <c r="J334" t="s">
        <v>37</v>
      </c>
    </row>
    <row r="335" spans="1:10" x14ac:dyDescent="0.25">
      <c r="A335" t="s">
        <v>116</v>
      </c>
      <c r="B335" s="1">
        <v>45223</v>
      </c>
      <c r="C335" t="s">
        <v>19</v>
      </c>
      <c r="D335">
        <v>2</v>
      </c>
      <c r="E335">
        <v>167</v>
      </c>
      <c r="F335">
        <v>5</v>
      </c>
      <c r="G335">
        <v>835</v>
      </c>
      <c r="H335">
        <v>194.83</v>
      </c>
      <c r="I335" t="s">
        <v>21</v>
      </c>
      <c r="J335" t="s">
        <v>37</v>
      </c>
    </row>
    <row r="336" spans="1:10" x14ac:dyDescent="0.25">
      <c r="A336" t="s">
        <v>116</v>
      </c>
      <c r="B336" s="1">
        <v>45223</v>
      </c>
      <c r="C336" t="s">
        <v>19</v>
      </c>
      <c r="D336">
        <v>3</v>
      </c>
      <c r="E336">
        <v>167</v>
      </c>
      <c r="F336">
        <v>4</v>
      </c>
      <c r="G336">
        <v>668</v>
      </c>
      <c r="H336">
        <v>189.27</v>
      </c>
      <c r="I336" t="s">
        <v>21</v>
      </c>
      <c r="J336" t="s">
        <v>37</v>
      </c>
    </row>
    <row r="337" spans="1:10" x14ac:dyDescent="0.25">
      <c r="A337" t="s">
        <v>117</v>
      </c>
      <c r="B337" s="1">
        <v>45225</v>
      </c>
      <c r="C337" t="s">
        <v>12</v>
      </c>
      <c r="D337">
        <v>1</v>
      </c>
      <c r="E337">
        <v>45</v>
      </c>
      <c r="F337">
        <v>12</v>
      </c>
      <c r="G337">
        <v>540</v>
      </c>
      <c r="H337">
        <v>63</v>
      </c>
      <c r="I337" t="s">
        <v>23</v>
      </c>
      <c r="J337" t="s">
        <v>37</v>
      </c>
    </row>
    <row r="338" spans="1:10" x14ac:dyDescent="0.25">
      <c r="A338" t="s">
        <v>117</v>
      </c>
      <c r="B338" s="1">
        <v>45225</v>
      </c>
      <c r="C338" t="s">
        <v>12</v>
      </c>
      <c r="D338">
        <v>2</v>
      </c>
      <c r="E338">
        <v>95</v>
      </c>
      <c r="F338">
        <v>12</v>
      </c>
      <c r="G338">
        <v>1140</v>
      </c>
      <c r="H338">
        <v>133</v>
      </c>
      <c r="I338" t="s">
        <v>23</v>
      </c>
      <c r="J338" t="s">
        <v>37</v>
      </c>
    </row>
    <row r="339" spans="1:10" x14ac:dyDescent="0.25">
      <c r="A339" t="s">
        <v>117</v>
      </c>
      <c r="B339" s="1">
        <v>45225</v>
      </c>
      <c r="C339" t="s">
        <v>12</v>
      </c>
      <c r="D339">
        <v>3</v>
      </c>
      <c r="E339">
        <v>120</v>
      </c>
      <c r="F339">
        <v>11</v>
      </c>
      <c r="G339">
        <v>1320</v>
      </c>
      <c r="H339">
        <v>164</v>
      </c>
      <c r="I339" t="s">
        <v>23</v>
      </c>
      <c r="J339" t="s">
        <v>37</v>
      </c>
    </row>
    <row r="340" spans="1:10" x14ac:dyDescent="0.25">
      <c r="A340" t="s">
        <v>117</v>
      </c>
      <c r="B340" s="1">
        <v>45225</v>
      </c>
      <c r="C340" t="s">
        <v>12</v>
      </c>
      <c r="D340">
        <v>4</v>
      </c>
      <c r="E340">
        <v>125</v>
      </c>
      <c r="F340">
        <v>10</v>
      </c>
      <c r="G340">
        <v>1250</v>
      </c>
      <c r="H340">
        <v>166.67</v>
      </c>
      <c r="I340" t="s">
        <v>23</v>
      </c>
      <c r="J340" t="s">
        <v>37</v>
      </c>
    </row>
    <row r="341" spans="1:10" x14ac:dyDescent="0.25">
      <c r="A341" t="s">
        <v>117</v>
      </c>
      <c r="B341" s="1">
        <v>45225</v>
      </c>
      <c r="C341" t="s">
        <v>12</v>
      </c>
      <c r="D341">
        <v>5</v>
      </c>
      <c r="E341">
        <v>125</v>
      </c>
      <c r="F341">
        <v>10</v>
      </c>
      <c r="G341">
        <v>1250</v>
      </c>
      <c r="H341">
        <v>166.67</v>
      </c>
      <c r="I341" t="s">
        <v>23</v>
      </c>
      <c r="J341" t="s">
        <v>37</v>
      </c>
    </row>
    <row r="342" spans="1:10" x14ac:dyDescent="0.25">
      <c r="A342" t="s">
        <v>117</v>
      </c>
      <c r="B342" s="1">
        <v>45225</v>
      </c>
      <c r="C342" t="s">
        <v>12</v>
      </c>
      <c r="D342">
        <v>6</v>
      </c>
      <c r="E342">
        <v>95</v>
      </c>
      <c r="F342">
        <v>10</v>
      </c>
      <c r="G342">
        <v>950</v>
      </c>
      <c r="H342">
        <v>126.67</v>
      </c>
      <c r="I342" t="s">
        <v>23</v>
      </c>
      <c r="J342" t="s">
        <v>37</v>
      </c>
    </row>
    <row r="343" spans="1:10" x14ac:dyDescent="0.25">
      <c r="A343" t="s">
        <v>117</v>
      </c>
      <c r="B343" s="1">
        <v>45225</v>
      </c>
      <c r="C343" t="s">
        <v>13</v>
      </c>
      <c r="D343">
        <v>1</v>
      </c>
      <c r="E343">
        <v>65</v>
      </c>
      <c r="F343">
        <v>9</v>
      </c>
      <c r="G343">
        <v>585</v>
      </c>
      <c r="H343">
        <v>84.5</v>
      </c>
      <c r="I343" t="s">
        <v>23</v>
      </c>
      <c r="J343" t="s">
        <v>38</v>
      </c>
    </row>
    <row r="344" spans="1:10" x14ac:dyDescent="0.25">
      <c r="A344" t="s">
        <v>117</v>
      </c>
      <c r="B344" s="1">
        <v>45225</v>
      </c>
      <c r="C344" t="s">
        <v>13</v>
      </c>
      <c r="D344">
        <v>2</v>
      </c>
      <c r="E344">
        <v>60</v>
      </c>
      <c r="F344">
        <v>12</v>
      </c>
      <c r="G344">
        <v>720</v>
      </c>
      <c r="H344">
        <v>84</v>
      </c>
      <c r="I344" t="s">
        <v>23</v>
      </c>
      <c r="J344" t="s">
        <v>38</v>
      </c>
    </row>
    <row r="345" spans="1:10" x14ac:dyDescent="0.25">
      <c r="A345" t="s">
        <v>117</v>
      </c>
      <c r="B345" s="1">
        <v>45225</v>
      </c>
      <c r="C345" t="s">
        <v>13</v>
      </c>
      <c r="D345">
        <v>3</v>
      </c>
      <c r="E345">
        <v>60</v>
      </c>
      <c r="F345">
        <v>10</v>
      </c>
      <c r="G345">
        <v>600</v>
      </c>
      <c r="H345">
        <v>80</v>
      </c>
      <c r="I345" t="s">
        <v>23</v>
      </c>
      <c r="J345" t="s">
        <v>38</v>
      </c>
    </row>
    <row r="346" spans="1:10" x14ac:dyDescent="0.25">
      <c r="A346" t="s">
        <v>117</v>
      </c>
      <c r="B346" s="1">
        <v>45225</v>
      </c>
      <c r="C346" t="s">
        <v>13</v>
      </c>
      <c r="D346">
        <v>4</v>
      </c>
      <c r="E346">
        <v>60</v>
      </c>
      <c r="F346">
        <v>9</v>
      </c>
      <c r="G346">
        <v>540</v>
      </c>
      <c r="H346">
        <v>78</v>
      </c>
      <c r="I346" t="s">
        <v>23</v>
      </c>
      <c r="J346" t="s">
        <v>38</v>
      </c>
    </row>
    <row r="347" spans="1:10" x14ac:dyDescent="0.25">
      <c r="A347" t="s">
        <v>117</v>
      </c>
      <c r="B347" s="1">
        <v>45225</v>
      </c>
      <c r="C347" t="s">
        <v>14</v>
      </c>
      <c r="D347">
        <v>1</v>
      </c>
      <c r="E347">
        <v>65</v>
      </c>
      <c r="F347">
        <v>10</v>
      </c>
      <c r="G347">
        <v>650</v>
      </c>
      <c r="H347">
        <v>86.67</v>
      </c>
      <c r="I347" t="s">
        <v>23</v>
      </c>
      <c r="J347" t="s">
        <v>37</v>
      </c>
    </row>
    <row r="348" spans="1:10" x14ac:dyDescent="0.25">
      <c r="A348" t="s">
        <v>117</v>
      </c>
      <c r="B348" s="1">
        <v>45225</v>
      </c>
      <c r="C348" t="s">
        <v>14</v>
      </c>
      <c r="D348">
        <v>2</v>
      </c>
      <c r="E348">
        <v>75</v>
      </c>
      <c r="F348">
        <v>7</v>
      </c>
      <c r="G348">
        <v>525</v>
      </c>
      <c r="H348">
        <v>92.5</v>
      </c>
      <c r="I348" t="s">
        <v>23</v>
      </c>
      <c r="J348" t="s">
        <v>37</v>
      </c>
    </row>
    <row r="349" spans="1:10" x14ac:dyDescent="0.25">
      <c r="A349" t="s">
        <v>117</v>
      </c>
      <c r="B349" s="1">
        <v>45225</v>
      </c>
      <c r="C349" t="s">
        <v>14</v>
      </c>
      <c r="D349">
        <v>3</v>
      </c>
      <c r="E349">
        <v>65</v>
      </c>
      <c r="F349">
        <v>9</v>
      </c>
      <c r="G349">
        <v>585</v>
      </c>
      <c r="H349">
        <v>84.5</v>
      </c>
      <c r="I349" t="s">
        <v>23</v>
      </c>
      <c r="J349" t="s">
        <v>37</v>
      </c>
    </row>
    <row r="350" spans="1:10" x14ac:dyDescent="0.25">
      <c r="A350" t="s">
        <v>117</v>
      </c>
      <c r="B350" s="1">
        <v>45225</v>
      </c>
      <c r="C350" t="s">
        <v>14</v>
      </c>
      <c r="D350">
        <v>4</v>
      </c>
      <c r="E350">
        <v>65</v>
      </c>
      <c r="F350">
        <v>7</v>
      </c>
      <c r="G350">
        <v>455</v>
      </c>
      <c r="H350">
        <v>80.17</v>
      </c>
      <c r="I350" t="s">
        <v>23</v>
      </c>
      <c r="J350" t="s">
        <v>37</v>
      </c>
    </row>
    <row r="351" spans="1:10" x14ac:dyDescent="0.25">
      <c r="A351" t="s">
        <v>117</v>
      </c>
      <c r="B351" s="1">
        <v>45225</v>
      </c>
      <c r="C351" t="s">
        <v>14</v>
      </c>
      <c r="D351">
        <v>5</v>
      </c>
      <c r="E351">
        <v>45</v>
      </c>
      <c r="F351">
        <v>10</v>
      </c>
      <c r="G351">
        <v>450</v>
      </c>
      <c r="H351">
        <v>60</v>
      </c>
      <c r="I351" t="s">
        <v>23</v>
      </c>
      <c r="J351" t="s">
        <v>37</v>
      </c>
    </row>
    <row r="352" spans="1:10" x14ac:dyDescent="0.25">
      <c r="A352" t="s">
        <v>117</v>
      </c>
      <c r="B352" s="1">
        <v>45225</v>
      </c>
      <c r="C352" t="s">
        <v>45</v>
      </c>
      <c r="D352">
        <v>1</v>
      </c>
      <c r="E352">
        <v>5</v>
      </c>
      <c r="F352">
        <v>20</v>
      </c>
      <c r="G352">
        <v>100</v>
      </c>
      <c r="H352">
        <v>8.33</v>
      </c>
      <c r="I352" t="s">
        <v>23</v>
      </c>
      <c r="J352" t="s">
        <v>38</v>
      </c>
    </row>
    <row r="353" spans="1:10" x14ac:dyDescent="0.25">
      <c r="A353" t="s">
        <v>117</v>
      </c>
      <c r="B353" s="1">
        <v>45225</v>
      </c>
      <c r="C353" t="s">
        <v>45</v>
      </c>
      <c r="D353">
        <v>2</v>
      </c>
      <c r="E353">
        <v>10</v>
      </c>
      <c r="F353">
        <v>15</v>
      </c>
      <c r="G353">
        <v>150</v>
      </c>
      <c r="H353">
        <v>15</v>
      </c>
      <c r="I353" t="s">
        <v>23</v>
      </c>
      <c r="J353" t="s">
        <v>38</v>
      </c>
    </row>
    <row r="354" spans="1:10" x14ac:dyDescent="0.25">
      <c r="A354" t="s">
        <v>117</v>
      </c>
      <c r="B354" s="1">
        <v>45225</v>
      </c>
      <c r="C354" t="s">
        <v>45</v>
      </c>
      <c r="D354">
        <v>3</v>
      </c>
      <c r="E354">
        <v>10</v>
      </c>
      <c r="F354">
        <v>20</v>
      </c>
      <c r="G354">
        <v>200</v>
      </c>
      <c r="H354">
        <v>16.670000000000002</v>
      </c>
      <c r="I354" t="s">
        <v>23</v>
      </c>
      <c r="J354" t="s">
        <v>38</v>
      </c>
    </row>
    <row r="355" spans="1:10" x14ac:dyDescent="0.25">
      <c r="A355" t="s">
        <v>117</v>
      </c>
      <c r="B355" s="1">
        <v>45225</v>
      </c>
      <c r="C355" t="s">
        <v>45</v>
      </c>
      <c r="D355">
        <v>4</v>
      </c>
      <c r="E355">
        <v>10</v>
      </c>
      <c r="F355">
        <v>20</v>
      </c>
      <c r="G355">
        <v>200</v>
      </c>
      <c r="H355">
        <v>16.670000000000002</v>
      </c>
      <c r="I355" t="s">
        <v>23</v>
      </c>
      <c r="J355" t="s">
        <v>38</v>
      </c>
    </row>
    <row r="356" spans="1:10" x14ac:dyDescent="0.25">
      <c r="A356" t="s">
        <v>118</v>
      </c>
      <c r="B356" s="1">
        <v>45227</v>
      </c>
      <c r="C356" t="s">
        <v>15</v>
      </c>
      <c r="D356">
        <v>1</v>
      </c>
      <c r="E356">
        <v>155</v>
      </c>
      <c r="F356">
        <v>10</v>
      </c>
      <c r="G356">
        <v>1550</v>
      </c>
      <c r="H356">
        <v>206.67</v>
      </c>
      <c r="I356" t="s">
        <v>22</v>
      </c>
      <c r="J356" t="s">
        <v>38</v>
      </c>
    </row>
    <row r="357" spans="1:10" x14ac:dyDescent="0.25">
      <c r="A357" t="s">
        <v>118</v>
      </c>
      <c r="B357" s="1">
        <v>45227</v>
      </c>
      <c r="C357" t="s">
        <v>15</v>
      </c>
      <c r="D357">
        <v>2</v>
      </c>
      <c r="E357">
        <v>160</v>
      </c>
      <c r="F357">
        <v>8</v>
      </c>
      <c r="G357">
        <v>1280</v>
      </c>
      <c r="H357">
        <v>202.67</v>
      </c>
      <c r="I357" t="s">
        <v>22</v>
      </c>
      <c r="J357" t="s">
        <v>38</v>
      </c>
    </row>
    <row r="358" spans="1:10" x14ac:dyDescent="0.25">
      <c r="A358" t="s">
        <v>118</v>
      </c>
      <c r="B358" s="1">
        <v>45227</v>
      </c>
      <c r="C358" t="s">
        <v>17</v>
      </c>
      <c r="D358">
        <v>1</v>
      </c>
      <c r="E358">
        <v>70</v>
      </c>
      <c r="F358">
        <v>18</v>
      </c>
      <c r="G358">
        <v>1260</v>
      </c>
      <c r="H358">
        <v>112</v>
      </c>
      <c r="I358" t="s">
        <v>22</v>
      </c>
      <c r="J358" t="s">
        <v>37</v>
      </c>
    </row>
    <row r="359" spans="1:10" x14ac:dyDescent="0.25">
      <c r="A359" t="s">
        <v>118</v>
      </c>
      <c r="B359" s="1">
        <v>45227</v>
      </c>
      <c r="C359" t="s">
        <v>17</v>
      </c>
      <c r="D359">
        <v>2</v>
      </c>
      <c r="E359">
        <v>105</v>
      </c>
      <c r="F359">
        <v>12</v>
      </c>
      <c r="G359">
        <v>1260</v>
      </c>
      <c r="H359">
        <v>147</v>
      </c>
      <c r="I359" t="s">
        <v>22</v>
      </c>
      <c r="J359" t="s">
        <v>37</v>
      </c>
    </row>
    <row r="360" spans="1:10" x14ac:dyDescent="0.25">
      <c r="A360" t="s">
        <v>118</v>
      </c>
      <c r="B360" s="1">
        <v>45227</v>
      </c>
      <c r="C360" t="s">
        <v>17</v>
      </c>
      <c r="D360">
        <v>3</v>
      </c>
      <c r="E360">
        <v>105</v>
      </c>
      <c r="F360">
        <v>10</v>
      </c>
      <c r="G360">
        <v>1050</v>
      </c>
      <c r="H360">
        <v>140</v>
      </c>
      <c r="I360" t="s">
        <v>22</v>
      </c>
      <c r="J360" t="s">
        <v>37</v>
      </c>
    </row>
    <row r="361" spans="1:10" x14ac:dyDescent="0.25">
      <c r="A361" t="s">
        <v>118</v>
      </c>
      <c r="B361" s="1">
        <v>45227</v>
      </c>
      <c r="C361" t="s">
        <v>17</v>
      </c>
      <c r="D361">
        <v>4</v>
      </c>
      <c r="E361">
        <v>105</v>
      </c>
      <c r="F361">
        <v>10</v>
      </c>
      <c r="G361">
        <v>1050</v>
      </c>
      <c r="H361">
        <v>140</v>
      </c>
      <c r="I361" t="s">
        <v>22</v>
      </c>
      <c r="J361" t="s">
        <v>37</v>
      </c>
    </row>
    <row r="362" spans="1:10" x14ac:dyDescent="0.25">
      <c r="A362" t="s">
        <v>118</v>
      </c>
      <c r="B362" s="1">
        <v>45227</v>
      </c>
      <c r="C362" t="s">
        <v>17</v>
      </c>
      <c r="D362">
        <v>5</v>
      </c>
      <c r="E362">
        <v>95</v>
      </c>
      <c r="F362">
        <v>10</v>
      </c>
      <c r="G362">
        <v>950</v>
      </c>
      <c r="H362">
        <v>126.67</v>
      </c>
      <c r="I362" t="s">
        <v>22</v>
      </c>
      <c r="J362" t="s">
        <v>37</v>
      </c>
    </row>
    <row r="363" spans="1:10" x14ac:dyDescent="0.25">
      <c r="A363" t="s">
        <v>118</v>
      </c>
      <c r="B363" s="1">
        <v>45227</v>
      </c>
      <c r="C363" t="s">
        <v>11</v>
      </c>
      <c r="D363">
        <v>1</v>
      </c>
      <c r="E363">
        <v>155</v>
      </c>
      <c r="F363">
        <v>10</v>
      </c>
      <c r="G363">
        <v>1550</v>
      </c>
      <c r="H363">
        <v>206.67</v>
      </c>
      <c r="I363" t="s">
        <v>22</v>
      </c>
      <c r="J363" t="s">
        <v>37</v>
      </c>
    </row>
    <row r="364" spans="1:10" x14ac:dyDescent="0.25">
      <c r="A364" t="s">
        <v>118</v>
      </c>
      <c r="B364" s="1">
        <v>45227</v>
      </c>
      <c r="C364" t="s">
        <v>11</v>
      </c>
      <c r="D364">
        <v>2</v>
      </c>
      <c r="E364">
        <v>155</v>
      </c>
      <c r="F364">
        <v>10</v>
      </c>
      <c r="G364">
        <v>1550</v>
      </c>
      <c r="H364">
        <v>206.67</v>
      </c>
      <c r="I364" t="s">
        <v>22</v>
      </c>
      <c r="J364" t="s">
        <v>37</v>
      </c>
    </row>
    <row r="365" spans="1:10" x14ac:dyDescent="0.25">
      <c r="A365" t="s">
        <v>118</v>
      </c>
      <c r="B365" s="1">
        <v>45227</v>
      </c>
      <c r="C365" t="s">
        <v>11</v>
      </c>
      <c r="D365">
        <v>3</v>
      </c>
      <c r="E365">
        <v>155</v>
      </c>
      <c r="F365">
        <v>10</v>
      </c>
      <c r="G365">
        <v>1550</v>
      </c>
      <c r="H365">
        <v>206.67</v>
      </c>
      <c r="I365" t="s">
        <v>22</v>
      </c>
      <c r="J365" t="s">
        <v>37</v>
      </c>
    </row>
    <row r="366" spans="1:10" x14ac:dyDescent="0.25">
      <c r="A366" t="s">
        <v>119</v>
      </c>
      <c r="B366" s="1">
        <v>45229</v>
      </c>
      <c r="C366" t="s">
        <v>12</v>
      </c>
      <c r="D366">
        <v>1</v>
      </c>
      <c r="E366">
        <v>125</v>
      </c>
      <c r="F366">
        <v>8</v>
      </c>
      <c r="G366">
        <v>1000</v>
      </c>
      <c r="H366">
        <v>158.33000000000001</v>
      </c>
      <c r="I366" t="s">
        <v>23</v>
      </c>
      <c r="J366" t="s">
        <v>37</v>
      </c>
    </row>
    <row r="367" spans="1:10" x14ac:dyDescent="0.25">
      <c r="A367" t="s">
        <v>119</v>
      </c>
      <c r="B367" s="1">
        <v>45229</v>
      </c>
      <c r="C367" t="s">
        <v>12</v>
      </c>
      <c r="D367">
        <v>2</v>
      </c>
      <c r="E367">
        <v>125</v>
      </c>
      <c r="F367">
        <v>7</v>
      </c>
      <c r="G367">
        <v>875</v>
      </c>
      <c r="H367">
        <v>154.16999999999999</v>
      </c>
      <c r="I367" t="s">
        <v>23</v>
      </c>
      <c r="J367" t="s">
        <v>37</v>
      </c>
    </row>
    <row r="368" spans="1:10" x14ac:dyDescent="0.25">
      <c r="A368" t="s">
        <v>119</v>
      </c>
      <c r="B368" s="1">
        <v>45229</v>
      </c>
      <c r="C368" t="s">
        <v>12</v>
      </c>
      <c r="D368">
        <v>3</v>
      </c>
      <c r="E368">
        <v>125</v>
      </c>
      <c r="F368">
        <v>6</v>
      </c>
      <c r="G368">
        <v>750</v>
      </c>
      <c r="H368">
        <v>150</v>
      </c>
      <c r="I368" t="s">
        <v>23</v>
      </c>
      <c r="J368" t="s">
        <v>37</v>
      </c>
    </row>
    <row r="369" spans="1:10" x14ac:dyDescent="0.25">
      <c r="A369" t="s">
        <v>119</v>
      </c>
      <c r="B369" s="1">
        <v>45229</v>
      </c>
      <c r="C369" t="s">
        <v>18</v>
      </c>
      <c r="D369">
        <v>1</v>
      </c>
      <c r="E369">
        <v>45</v>
      </c>
      <c r="F369">
        <v>12</v>
      </c>
      <c r="G369">
        <v>540</v>
      </c>
      <c r="H369">
        <v>63</v>
      </c>
      <c r="I369" t="s">
        <v>23</v>
      </c>
      <c r="J369" t="s">
        <v>38</v>
      </c>
    </row>
    <row r="370" spans="1:10" x14ac:dyDescent="0.25">
      <c r="A370" t="s">
        <v>119</v>
      </c>
      <c r="B370" s="1">
        <v>45229</v>
      </c>
      <c r="C370" t="s">
        <v>18</v>
      </c>
      <c r="D370">
        <v>2</v>
      </c>
      <c r="E370">
        <v>80</v>
      </c>
      <c r="F370">
        <v>13</v>
      </c>
      <c r="G370">
        <v>1040</v>
      </c>
      <c r="H370">
        <v>114.67</v>
      </c>
      <c r="I370" t="s">
        <v>23</v>
      </c>
      <c r="J370" t="s">
        <v>38</v>
      </c>
    </row>
    <row r="371" spans="1:10" x14ac:dyDescent="0.25">
      <c r="A371" t="s">
        <v>119</v>
      </c>
      <c r="B371" s="1">
        <v>45229</v>
      </c>
      <c r="C371" t="s">
        <v>18</v>
      </c>
      <c r="D371">
        <v>3</v>
      </c>
      <c r="E371">
        <v>110</v>
      </c>
      <c r="F371">
        <v>10</v>
      </c>
      <c r="G371">
        <v>1100</v>
      </c>
      <c r="H371">
        <v>146.66999999999999</v>
      </c>
      <c r="I371" t="s">
        <v>23</v>
      </c>
      <c r="J371" t="s">
        <v>38</v>
      </c>
    </row>
    <row r="372" spans="1:10" x14ac:dyDescent="0.25">
      <c r="A372" t="s">
        <v>119</v>
      </c>
      <c r="B372" s="1">
        <v>45229</v>
      </c>
      <c r="C372" t="s">
        <v>18</v>
      </c>
      <c r="D372">
        <v>4</v>
      </c>
      <c r="E372">
        <v>115</v>
      </c>
      <c r="F372">
        <v>8</v>
      </c>
      <c r="G372">
        <v>920</v>
      </c>
      <c r="H372">
        <v>145.66999999999999</v>
      </c>
      <c r="I372" t="s">
        <v>23</v>
      </c>
      <c r="J372" t="s">
        <v>38</v>
      </c>
    </row>
    <row r="373" spans="1:10" x14ac:dyDescent="0.25">
      <c r="A373" t="s">
        <v>119</v>
      </c>
      <c r="B373" s="1">
        <v>45229</v>
      </c>
      <c r="C373" t="s">
        <v>13</v>
      </c>
      <c r="D373">
        <v>1</v>
      </c>
      <c r="E373">
        <v>60</v>
      </c>
      <c r="F373">
        <v>15</v>
      </c>
      <c r="G373">
        <v>900</v>
      </c>
      <c r="H373">
        <v>90</v>
      </c>
      <c r="I373" t="s">
        <v>23</v>
      </c>
      <c r="J373" t="s">
        <v>38</v>
      </c>
    </row>
    <row r="374" spans="1:10" x14ac:dyDescent="0.25">
      <c r="A374" t="s">
        <v>119</v>
      </c>
      <c r="B374" s="1">
        <v>45229</v>
      </c>
      <c r="C374" t="s">
        <v>13</v>
      </c>
      <c r="D374">
        <v>2</v>
      </c>
      <c r="E374">
        <v>65</v>
      </c>
      <c r="F374">
        <v>11</v>
      </c>
      <c r="G374">
        <v>715</v>
      </c>
      <c r="H374">
        <v>88.83</v>
      </c>
      <c r="I374" t="s">
        <v>23</v>
      </c>
      <c r="J374" t="s">
        <v>38</v>
      </c>
    </row>
    <row r="375" spans="1:10" x14ac:dyDescent="0.25">
      <c r="A375" t="s">
        <v>119</v>
      </c>
      <c r="B375" s="1">
        <v>45229</v>
      </c>
      <c r="C375" t="s">
        <v>13</v>
      </c>
      <c r="D375">
        <v>3</v>
      </c>
      <c r="E375">
        <v>65</v>
      </c>
      <c r="F375">
        <v>9</v>
      </c>
      <c r="G375">
        <v>585</v>
      </c>
      <c r="H375">
        <v>84.5</v>
      </c>
      <c r="I375" t="s">
        <v>23</v>
      </c>
      <c r="J375" t="s">
        <v>38</v>
      </c>
    </row>
    <row r="376" spans="1:10" x14ac:dyDescent="0.25">
      <c r="A376" t="s">
        <v>119</v>
      </c>
      <c r="B376" s="1">
        <v>45229</v>
      </c>
      <c r="C376" t="s">
        <v>13</v>
      </c>
      <c r="D376">
        <v>4</v>
      </c>
      <c r="E376">
        <v>65</v>
      </c>
      <c r="F376">
        <v>8</v>
      </c>
      <c r="G376">
        <v>520</v>
      </c>
      <c r="H376">
        <v>82.33</v>
      </c>
      <c r="I376" t="s">
        <v>23</v>
      </c>
      <c r="J376" t="s">
        <v>38</v>
      </c>
    </row>
    <row r="377" spans="1:10" x14ac:dyDescent="0.25">
      <c r="A377" t="s">
        <v>119</v>
      </c>
      <c r="B377" s="1">
        <v>45229</v>
      </c>
      <c r="C377" t="s">
        <v>14</v>
      </c>
      <c r="D377">
        <v>1</v>
      </c>
      <c r="E377">
        <v>65</v>
      </c>
      <c r="F377">
        <v>10</v>
      </c>
      <c r="G377">
        <v>650</v>
      </c>
      <c r="H377">
        <v>86.67</v>
      </c>
      <c r="I377" t="s">
        <v>23</v>
      </c>
      <c r="J377" t="s">
        <v>37</v>
      </c>
    </row>
    <row r="378" spans="1:10" x14ac:dyDescent="0.25">
      <c r="A378" t="s">
        <v>119</v>
      </c>
      <c r="B378" s="1">
        <v>45229</v>
      </c>
      <c r="C378" t="s">
        <v>14</v>
      </c>
      <c r="D378">
        <v>2</v>
      </c>
      <c r="E378">
        <v>65</v>
      </c>
      <c r="F378">
        <v>9</v>
      </c>
      <c r="G378">
        <v>585</v>
      </c>
      <c r="H378">
        <v>84.5</v>
      </c>
      <c r="I378" t="s">
        <v>23</v>
      </c>
      <c r="J378" t="s">
        <v>37</v>
      </c>
    </row>
    <row r="379" spans="1:10" x14ac:dyDescent="0.25">
      <c r="A379" t="s">
        <v>119</v>
      </c>
      <c r="B379" s="1">
        <v>45229</v>
      </c>
      <c r="C379" t="s">
        <v>14</v>
      </c>
      <c r="D379">
        <v>3</v>
      </c>
      <c r="E379">
        <v>65</v>
      </c>
      <c r="F379">
        <v>9</v>
      </c>
      <c r="G379">
        <v>585</v>
      </c>
      <c r="H379">
        <v>84.5</v>
      </c>
      <c r="I379" t="s">
        <v>23</v>
      </c>
      <c r="J379" t="s">
        <v>37</v>
      </c>
    </row>
    <row r="380" spans="1:10" x14ac:dyDescent="0.25">
      <c r="A380" t="s">
        <v>119</v>
      </c>
      <c r="B380" s="1">
        <v>45229</v>
      </c>
      <c r="C380" t="s">
        <v>45</v>
      </c>
      <c r="D380">
        <v>1</v>
      </c>
      <c r="E380">
        <v>5</v>
      </c>
      <c r="F380">
        <v>20</v>
      </c>
      <c r="G380">
        <v>100</v>
      </c>
      <c r="H380">
        <v>8.33</v>
      </c>
      <c r="I380" t="s">
        <v>23</v>
      </c>
      <c r="J380" t="s">
        <v>38</v>
      </c>
    </row>
    <row r="381" spans="1:10" x14ac:dyDescent="0.25">
      <c r="A381" t="s">
        <v>119</v>
      </c>
      <c r="B381" s="1">
        <v>45229</v>
      </c>
      <c r="C381" t="s">
        <v>45</v>
      </c>
      <c r="D381">
        <v>2</v>
      </c>
      <c r="E381">
        <v>5</v>
      </c>
      <c r="F381">
        <v>20</v>
      </c>
      <c r="G381">
        <v>100</v>
      </c>
      <c r="H381">
        <v>8.33</v>
      </c>
      <c r="I381" t="s">
        <v>23</v>
      </c>
      <c r="J381" t="s">
        <v>38</v>
      </c>
    </row>
    <row r="382" spans="1:10" x14ac:dyDescent="0.25">
      <c r="A382" t="s">
        <v>119</v>
      </c>
      <c r="B382" s="1">
        <v>45229</v>
      </c>
      <c r="C382" t="s">
        <v>45</v>
      </c>
      <c r="D382">
        <v>3</v>
      </c>
      <c r="E382">
        <v>5</v>
      </c>
      <c r="F382">
        <v>20</v>
      </c>
      <c r="G382">
        <v>100</v>
      </c>
      <c r="H382">
        <v>8.33</v>
      </c>
      <c r="I382" t="s">
        <v>23</v>
      </c>
      <c r="J382" t="s">
        <v>38</v>
      </c>
    </row>
    <row r="383" spans="1:10" x14ac:dyDescent="0.25">
      <c r="A383" t="s">
        <v>119</v>
      </c>
      <c r="B383" s="1">
        <v>45229</v>
      </c>
      <c r="C383" t="s">
        <v>49</v>
      </c>
      <c r="D383">
        <v>1</v>
      </c>
      <c r="E383">
        <v>10</v>
      </c>
      <c r="F383">
        <v>20</v>
      </c>
      <c r="G383">
        <v>200</v>
      </c>
      <c r="H383">
        <v>16.670000000000002</v>
      </c>
      <c r="I383" t="s">
        <v>23</v>
      </c>
      <c r="J383" t="s">
        <v>38</v>
      </c>
    </row>
    <row r="384" spans="1:10" x14ac:dyDescent="0.25">
      <c r="A384" t="s">
        <v>119</v>
      </c>
      <c r="B384" s="1">
        <v>45229</v>
      </c>
      <c r="C384" t="s">
        <v>49</v>
      </c>
      <c r="D384">
        <v>2</v>
      </c>
      <c r="E384">
        <v>10</v>
      </c>
      <c r="F384">
        <v>20</v>
      </c>
      <c r="G384">
        <v>200</v>
      </c>
      <c r="H384">
        <v>16.670000000000002</v>
      </c>
      <c r="I384" t="s">
        <v>23</v>
      </c>
      <c r="J384" t="s">
        <v>38</v>
      </c>
    </row>
    <row r="385" spans="1:10" x14ac:dyDescent="0.25">
      <c r="A385" t="s">
        <v>119</v>
      </c>
      <c r="B385" s="1">
        <v>45229</v>
      </c>
      <c r="C385" t="s">
        <v>49</v>
      </c>
      <c r="D385">
        <v>3</v>
      </c>
      <c r="E385">
        <v>10</v>
      </c>
      <c r="F385">
        <v>20</v>
      </c>
      <c r="G385">
        <v>200</v>
      </c>
      <c r="H385">
        <v>16.670000000000002</v>
      </c>
      <c r="I385" t="s">
        <v>23</v>
      </c>
      <c r="J385" t="s">
        <v>38</v>
      </c>
    </row>
    <row r="386" spans="1:10" x14ac:dyDescent="0.25">
      <c r="A386" t="s">
        <v>119</v>
      </c>
      <c r="B386" s="1">
        <v>45229</v>
      </c>
      <c r="C386" t="s">
        <v>49</v>
      </c>
      <c r="D386">
        <v>4</v>
      </c>
      <c r="E386">
        <v>10</v>
      </c>
      <c r="F386">
        <v>20</v>
      </c>
      <c r="G386">
        <v>200</v>
      </c>
      <c r="H386">
        <v>16.670000000000002</v>
      </c>
      <c r="I386" t="s">
        <v>23</v>
      </c>
      <c r="J386" t="s">
        <v>38</v>
      </c>
    </row>
    <row r="387" spans="1:10" x14ac:dyDescent="0.25">
      <c r="A387" t="s">
        <v>120</v>
      </c>
      <c r="B387" s="1">
        <v>45230</v>
      </c>
      <c r="C387" t="s">
        <v>20</v>
      </c>
      <c r="D387">
        <v>1</v>
      </c>
      <c r="E387">
        <v>155</v>
      </c>
      <c r="F387">
        <v>10</v>
      </c>
      <c r="G387">
        <v>1550</v>
      </c>
      <c r="H387">
        <v>206.67</v>
      </c>
      <c r="I387" t="s">
        <v>21</v>
      </c>
      <c r="J387" t="s">
        <v>38</v>
      </c>
    </row>
    <row r="388" spans="1:10" x14ac:dyDescent="0.25">
      <c r="A388" t="s">
        <v>120</v>
      </c>
      <c r="B388" s="1">
        <v>45230</v>
      </c>
      <c r="C388" t="s">
        <v>20</v>
      </c>
      <c r="D388">
        <v>2</v>
      </c>
      <c r="E388">
        <v>205</v>
      </c>
      <c r="F388">
        <v>10</v>
      </c>
      <c r="G388">
        <v>2050</v>
      </c>
      <c r="H388">
        <v>273.33</v>
      </c>
      <c r="I388" t="s">
        <v>21</v>
      </c>
      <c r="J388" t="s">
        <v>38</v>
      </c>
    </row>
    <row r="389" spans="1:10" x14ac:dyDescent="0.25">
      <c r="A389" t="s">
        <v>120</v>
      </c>
      <c r="B389" s="1">
        <v>45230</v>
      </c>
      <c r="C389" t="s">
        <v>20</v>
      </c>
      <c r="D389">
        <v>3</v>
      </c>
      <c r="E389">
        <v>220</v>
      </c>
      <c r="F389">
        <v>10</v>
      </c>
      <c r="G389">
        <v>2200</v>
      </c>
      <c r="H389">
        <v>293.33</v>
      </c>
      <c r="I389" t="s">
        <v>21</v>
      </c>
      <c r="J389" t="s">
        <v>38</v>
      </c>
    </row>
    <row r="390" spans="1:10" x14ac:dyDescent="0.25">
      <c r="A390" t="s">
        <v>120</v>
      </c>
      <c r="B390" s="1">
        <v>45230</v>
      </c>
      <c r="C390" t="s">
        <v>16</v>
      </c>
      <c r="D390">
        <v>1</v>
      </c>
      <c r="E390">
        <v>60</v>
      </c>
      <c r="F390">
        <v>15</v>
      </c>
      <c r="G390">
        <v>900</v>
      </c>
      <c r="H390">
        <v>90</v>
      </c>
      <c r="I390" t="s">
        <v>21</v>
      </c>
      <c r="J390" t="s">
        <v>38</v>
      </c>
    </row>
    <row r="391" spans="1:10" x14ac:dyDescent="0.25">
      <c r="A391" t="s">
        <v>120</v>
      </c>
      <c r="B391" s="1">
        <v>45230</v>
      </c>
      <c r="C391" t="s">
        <v>16</v>
      </c>
      <c r="D391">
        <v>2</v>
      </c>
      <c r="E391">
        <v>65</v>
      </c>
      <c r="F391">
        <v>15</v>
      </c>
      <c r="G391">
        <v>975</v>
      </c>
      <c r="H391">
        <v>97.5</v>
      </c>
      <c r="I391" t="s">
        <v>21</v>
      </c>
      <c r="J391" t="s">
        <v>38</v>
      </c>
    </row>
    <row r="392" spans="1:10" x14ac:dyDescent="0.25">
      <c r="A392" t="s">
        <v>120</v>
      </c>
      <c r="B392" s="1">
        <v>45230</v>
      </c>
      <c r="C392" t="s">
        <v>16</v>
      </c>
      <c r="D392">
        <v>3</v>
      </c>
      <c r="E392">
        <v>65</v>
      </c>
      <c r="F392">
        <v>12</v>
      </c>
      <c r="G392">
        <v>780</v>
      </c>
      <c r="H392">
        <v>91</v>
      </c>
      <c r="I392" t="s">
        <v>21</v>
      </c>
      <c r="J392" t="s">
        <v>38</v>
      </c>
    </row>
    <row r="393" spans="1:10" x14ac:dyDescent="0.25">
      <c r="A393" t="s">
        <v>120</v>
      </c>
      <c r="B393" s="1">
        <v>45230</v>
      </c>
      <c r="C393" t="s">
        <v>19</v>
      </c>
      <c r="D393">
        <v>1</v>
      </c>
      <c r="E393">
        <v>168</v>
      </c>
      <c r="F393">
        <v>6</v>
      </c>
      <c r="G393">
        <v>1008</v>
      </c>
      <c r="H393">
        <v>201.6</v>
      </c>
      <c r="I393" t="s">
        <v>21</v>
      </c>
      <c r="J393" t="s">
        <v>37</v>
      </c>
    </row>
    <row r="394" spans="1:10" x14ac:dyDescent="0.25">
      <c r="A394" t="s">
        <v>120</v>
      </c>
      <c r="B394" s="1">
        <v>45230</v>
      </c>
      <c r="C394" t="s">
        <v>19</v>
      </c>
      <c r="D394">
        <v>2</v>
      </c>
      <c r="E394">
        <v>168</v>
      </c>
      <c r="F394">
        <v>6</v>
      </c>
      <c r="G394">
        <v>1008</v>
      </c>
      <c r="H394">
        <v>201.6</v>
      </c>
      <c r="I394" t="s">
        <v>21</v>
      </c>
      <c r="J394" t="s">
        <v>37</v>
      </c>
    </row>
    <row r="395" spans="1:10" x14ac:dyDescent="0.25">
      <c r="A395" t="s">
        <v>120</v>
      </c>
      <c r="B395" s="1">
        <v>45230</v>
      </c>
      <c r="C395" t="s">
        <v>19</v>
      </c>
      <c r="D395">
        <v>3</v>
      </c>
      <c r="E395">
        <v>168</v>
      </c>
      <c r="F395">
        <v>5</v>
      </c>
      <c r="G395">
        <v>840</v>
      </c>
      <c r="H395">
        <v>196</v>
      </c>
      <c r="I395" t="s">
        <v>21</v>
      </c>
      <c r="J395" t="s">
        <v>37</v>
      </c>
    </row>
    <row r="396" spans="1:10" x14ac:dyDescent="0.25">
      <c r="A396" t="s">
        <v>121</v>
      </c>
      <c r="B396" s="1">
        <v>45237</v>
      </c>
      <c r="C396" t="s">
        <v>20</v>
      </c>
      <c r="D396">
        <v>1</v>
      </c>
      <c r="E396">
        <v>165</v>
      </c>
      <c r="F396">
        <v>10</v>
      </c>
      <c r="G396">
        <v>1650</v>
      </c>
      <c r="H396">
        <v>220</v>
      </c>
      <c r="I396" t="s">
        <v>21</v>
      </c>
      <c r="J396" t="s">
        <v>38</v>
      </c>
    </row>
    <row r="397" spans="1:10" x14ac:dyDescent="0.25">
      <c r="A397" t="s">
        <v>121</v>
      </c>
      <c r="B397" s="1">
        <v>45237</v>
      </c>
      <c r="C397" t="s">
        <v>20</v>
      </c>
      <c r="D397">
        <v>2</v>
      </c>
      <c r="E397">
        <v>205</v>
      </c>
      <c r="F397">
        <v>10</v>
      </c>
      <c r="G397">
        <v>2050</v>
      </c>
      <c r="H397">
        <v>273.33</v>
      </c>
      <c r="I397" t="s">
        <v>21</v>
      </c>
      <c r="J397" t="s">
        <v>38</v>
      </c>
    </row>
    <row r="398" spans="1:10" x14ac:dyDescent="0.25">
      <c r="A398" t="s">
        <v>121</v>
      </c>
      <c r="B398" s="1">
        <v>45237</v>
      </c>
      <c r="C398" t="s">
        <v>20</v>
      </c>
      <c r="D398">
        <v>3</v>
      </c>
      <c r="E398">
        <v>220</v>
      </c>
      <c r="F398">
        <v>10</v>
      </c>
      <c r="G398">
        <v>2200</v>
      </c>
      <c r="H398">
        <v>293.33</v>
      </c>
      <c r="I398" t="s">
        <v>21</v>
      </c>
      <c r="J398" t="s">
        <v>38</v>
      </c>
    </row>
    <row r="399" spans="1:10" x14ac:dyDescent="0.25">
      <c r="A399" t="s">
        <v>121</v>
      </c>
      <c r="B399" s="1">
        <v>45237</v>
      </c>
      <c r="C399" t="s">
        <v>10</v>
      </c>
      <c r="D399">
        <v>1</v>
      </c>
      <c r="E399">
        <v>65</v>
      </c>
      <c r="F399">
        <v>15</v>
      </c>
      <c r="G399">
        <v>975</v>
      </c>
      <c r="H399">
        <v>97.5</v>
      </c>
      <c r="I399" t="s">
        <v>21</v>
      </c>
      <c r="J399" t="s">
        <v>38</v>
      </c>
    </row>
    <row r="400" spans="1:10" x14ac:dyDescent="0.25">
      <c r="A400" t="s">
        <v>121</v>
      </c>
      <c r="B400" s="1">
        <v>45237</v>
      </c>
      <c r="C400" t="s">
        <v>10</v>
      </c>
      <c r="D400">
        <v>2</v>
      </c>
      <c r="E400">
        <v>65</v>
      </c>
      <c r="F400">
        <v>10</v>
      </c>
      <c r="G400">
        <v>650</v>
      </c>
      <c r="H400">
        <v>86.67</v>
      </c>
      <c r="I400" t="s">
        <v>21</v>
      </c>
      <c r="J400" t="s">
        <v>38</v>
      </c>
    </row>
    <row r="401" spans="1:10" x14ac:dyDescent="0.25">
      <c r="A401" t="s">
        <v>121</v>
      </c>
      <c r="B401" s="1">
        <v>45237</v>
      </c>
      <c r="C401" t="s">
        <v>10</v>
      </c>
      <c r="D401">
        <v>3</v>
      </c>
      <c r="E401">
        <v>65</v>
      </c>
      <c r="F401">
        <v>10</v>
      </c>
      <c r="G401">
        <v>650</v>
      </c>
      <c r="H401">
        <v>86.67</v>
      </c>
      <c r="I401" t="s">
        <v>21</v>
      </c>
      <c r="J401" t="s">
        <v>38</v>
      </c>
    </row>
    <row r="402" spans="1:10" x14ac:dyDescent="0.25">
      <c r="A402" t="s">
        <v>121</v>
      </c>
      <c r="B402" s="1">
        <v>45237</v>
      </c>
      <c r="C402" t="s">
        <v>10</v>
      </c>
      <c r="D402">
        <v>4</v>
      </c>
      <c r="E402">
        <v>65</v>
      </c>
      <c r="F402">
        <v>10</v>
      </c>
      <c r="G402">
        <v>650</v>
      </c>
      <c r="H402">
        <v>86.67</v>
      </c>
      <c r="I402" t="s">
        <v>21</v>
      </c>
      <c r="J402" t="s">
        <v>38</v>
      </c>
    </row>
    <row r="403" spans="1:10" x14ac:dyDescent="0.25">
      <c r="A403" t="s">
        <v>121</v>
      </c>
      <c r="B403" s="1">
        <v>45237</v>
      </c>
      <c r="C403" t="s">
        <v>16</v>
      </c>
      <c r="D403">
        <v>1</v>
      </c>
      <c r="E403">
        <v>65</v>
      </c>
      <c r="F403">
        <v>15</v>
      </c>
      <c r="G403">
        <v>975</v>
      </c>
      <c r="H403">
        <v>97.5</v>
      </c>
      <c r="I403" t="s">
        <v>21</v>
      </c>
      <c r="J403" t="s">
        <v>38</v>
      </c>
    </row>
    <row r="404" spans="1:10" x14ac:dyDescent="0.25">
      <c r="A404" t="s">
        <v>121</v>
      </c>
      <c r="B404" s="1">
        <v>45237</v>
      </c>
      <c r="C404" t="s">
        <v>16</v>
      </c>
      <c r="D404">
        <v>2</v>
      </c>
      <c r="E404">
        <v>70</v>
      </c>
      <c r="F404">
        <v>12</v>
      </c>
      <c r="G404">
        <v>840</v>
      </c>
      <c r="H404">
        <v>98</v>
      </c>
      <c r="I404" t="s">
        <v>21</v>
      </c>
      <c r="J404" t="s">
        <v>38</v>
      </c>
    </row>
    <row r="405" spans="1:10" x14ac:dyDescent="0.25">
      <c r="A405" t="s">
        <v>121</v>
      </c>
      <c r="B405" s="1">
        <v>45237</v>
      </c>
      <c r="C405" t="s">
        <v>16</v>
      </c>
      <c r="D405">
        <v>3</v>
      </c>
      <c r="E405">
        <v>70</v>
      </c>
      <c r="F405">
        <v>12</v>
      </c>
      <c r="G405">
        <v>840</v>
      </c>
      <c r="H405">
        <v>98</v>
      </c>
      <c r="I405" t="s">
        <v>21</v>
      </c>
      <c r="J405" t="s">
        <v>38</v>
      </c>
    </row>
    <row r="406" spans="1:10" x14ac:dyDescent="0.25">
      <c r="A406" t="s">
        <v>121</v>
      </c>
      <c r="B406" s="1">
        <v>45237</v>
      </c>
      <c r="C406" t="s">
        <v>19</v>
      </c>
      <c r="D406">
        <v>1</v>
      </c>
      <c r="E406">
        <v>169</v>
      </c>
      <c r="F406">
        <v>9</v>
      </c>
      <c r="G406">
        <v>1521</v>
      </c>
      <c r="H406">
        <v>219.7</v>
      </c>
      <c r="I406" t="s">
        <v>21</v>
      </c>
      <c r="J406" t="s">
        <v>37</v>
      </c>
    </row>
    <row r="407" spans="1:10" x14ac:dyDescent="0.25">
      <c r="A407" t="s">
        <v>121</v>
      </c>
      <c r="B407" s="1">
        <v>45237</v>
      </c>
      <c r="C407" t="s">
        <v>19</v>
      </c>
      <c r="D407">
        <v>2</v>
      </c>
      <c r="E407">
        <v>169</v>
      </c>
      <c r="F407">
        <v>8</v>
      </c>
      <c r="G407">
        <v>1352</v>
      </c>
      <c r="H407">
        <v>214.07</v>
      </c>
      <c r="I407" t="s">
        <v>21</v>
      </c>
      <c r="J407" t="s">
        <v>37</v>
      </c>
    </row>
    <row r="408" spans="1:10" x14ac:dyDescent="0.25">
      <c r="A408" t="s">
        <v>121</v>
      </c>
      <c r="B408" s="1">
        <v>45237</v>
      </c>
      <c r="C408" t="s">
        <v>19</v>
      </c>
      <c r="D408">
        <v>3</v>
      </c>
      <c r="E408">
        <v>169</v>
      </c>
      <c r="F408">
        <v>7</v>
      </c>
      <c r="G408">
        <v>1183</v>
      </c>
      <c r="H408">
        <v>208.43</v>
      </c>
      <c r="I408" t="s">
        <v>21</v>
      </c>
      <c r="J408" t="s">
        <v>37</v>
      </c>
    </row>
    <row r="409" spans="1:10" x14ac:dyDescent="0.25">
      <c r="A409" t="s">
        <v>122</v>
      </c>
      <c r="B409" s="1">
        <v>45238</v>
      </c>
      <c r="C409" t="s">
        <v>12</v>
      </c>
      <c r="D409">
        <v>1</v>
      </c>
      <c r="E409">
        <v>95</v>
      </c>
      <c r="F409">
        <v>8</v>
      </c>
      <c r="G409">
        <v>760</v>
      </c>
      <c r="H409">
        <v>120.33</v>
      </c>
      <c r="I409" t="s">
        <v>23</v>
      </c>
      <c r="J409" t="s">
        <v>37</v>
      </c>
    </row>
    <row r="410" spans="1:10" x14ac:dyDescent="0.25">
      <c r="A410" t="s">
        <v>122</v>
      </c>
      <c r="B410" s="1">
        <v>45238</v>
      </c>
      <c r="C410" t="s">
        <v>12</v>
      </c>
      <c r="D410">
        <v>2</v>
      </c>
      <c r="E410">
        <v>125</v>
      </c>
      <c r="F410">
        <v>6</v>
      </c>
      <c r="G410">
        <v>750</v>
      </c>
      <c r="H410">
        <v>150</v>
      </c>
      <c r="I410" t="s">
        <v>23</v>
      </c>
      <c r="J410" t="s">
        <v>37</v>
      </c>
    </row>
    <row r="411" spans="1:10" x14ac:dyDescent="0.25">
      <c r="A411" t="s">
        <v>122</v>
      </c>
      <c r="B411" s="1">
        <v>45238</v>
      </c>
      <c r="C411" t="s">
        <v>12</v>
      </c>
      <c r="D411">
        <v>3</v>
      </c>
      <c r="E411">
        <v>125</v>
      </c>
      <c r="F411">
        <v>3</v>
      </c>
      <c r="G411">
        <v>375</v>
      </c>
      <c r="H411">
        <v>137.5</v>
      </c>
      <c r="I411" t="s">
        <v>23</v>
      </c>
      <c r="J411" t="s">
        <v>37</v>
      </c>
    </row>
    <row r="412" spans="1:10" x14ac:dyDescent="0.25">
      <c r="A412" t="s">
        <v>122</v>
      </c>
      <c r="B412" s="1">
        <v>45238</v>
      </c>
      <c r="C412" t="s">
        <v>18</v>
      </c>
      <c r="D412">
        <v>1</v>
      </c>
      <c r="E412">
        <v>45</v>
      </c>
      <c r="F412">
        <v>12</v>
      </c>
      <c r="G412">
        <v>540</v>
      </c>
      <c r="H412">
        <v>63</v>
      </c>
      <c r="I412" t="s">
        <v>23</v>
      </c>
      <c r="J412" t="s">
        <v>38</v>
      </c>
    </row>
    <row r="413" spans="1:10" x14ac:dyDescent="0.25">
      <c r="A413" t="s">
        <v>122</v>
      </c>
      <c r="B413" s="1">
        <v>45238</v>
      </c>
      <c r="C413" t="s">
        <v>18</v>
      </c>
      <c r="D413">
        <v>2</v>
      </c>
      <c r="E413">
        <v>95</v>
      </c>
      <c r="F413">
        <v>12</v>
      </c>
      <c r="G413">
        <v>1140</v>
      </c>
      <c r="H413">
        <v>133</v>
      </c>
      <c r="I413" t="s">
        <v>23</v>
      </c>
      <c r="J413" t="s">
        <v>38</v>
      </c>
    </row>
    <row r="414" spans="1:10" x14ac:dyDescent="0.25">
      <c r="A414" t="s">
        <v>122</v>
      </c>
      <c r="B414" s="1">
        <v>45238</v>
      </c>
      <c r="C414" t="s">
        <v>18</v>
      </c>
      <c r="D414">
        <v>3</v>
      </c>
      <c r="E414">
        <v>120</v>
      </c>
      <c r="F414">
        <v>8</v>
      </c>
      <c r="G414">
        <v>960</v>
      </c>
      <c r="H414">
        <v>152</v>
      </c>
      <c r="I414" t="s">
        <v>23</v>
      </c>
      <c r="J414" t="s">
        <v>38</v>
      </c>
    </row>
    <row r="415" spans="1:10" x14ac:dyDescent="0.25">
      <c r="A415" t="s">
        <v>122</v>
      </c>
      <c r="B415" s="1">
        <v>45238</v>
      </c>
      <c r="C415" t="s">
        <v>18</v>
      </c>
      <c r="D415">
        <v>4</v>
      </c>
      <c r="E415">
        <v>115</v>
      </c>
      <c r="F415">
        <v>7</v>
      </c>
      <c r="G415">
        <v>805</v>
      </c>
      <c r="H415">
        <v>141.83000000000001</v>
      </c>
      <c r="I415" t="s">
        <v>23</v>
      </c>
      <c r="J415" t="s">
        <v>38</v>
      </c>
    </row>
    <row r="416" spans="1:10" x14ac:dyDescent="0.25">
      <c r="A416" t="s">
        <v>122</v>
      </c>
      <c r="B416" s="1">
        <v>45238</v>
      </c>
      <c r="C416" t="s">
        <v>18</v>
      </c>
      <c r="D416">
        <v>5</v>
      </c>
      <c r="E416">
        <v>95</v>
      </c>
      <c r="F416">
        <v>12</v>
      </c>
      <c r="G416">
        <v>1140</v>
      </c>
      <c r="H416">
        <v>133</v>
      </c>
      <c r="I416" t="s">
        <v>23</v>
      </c>
      <c r="J416" t="s">
        <v>38</v>
      </c>
    </row>
    <row r="417" spans="1:10" x14ac:dyDescent="0.25">
      <c r="A417" t="s">
        <v>122</v>
      </c>
      <c r="B417" s="1">
        <v>45238</v>
      </c>
      <c r="C417" t="s">
        <v>13</v>
      </c>
      <c r="D417">
        <v>1</v>
      </c>
      <c r="E417">
        <v>65</v>
      </c>
      <c r="F417">
        <v>8</v>
      </c>
      <c r="G417">
        <v>520</v>
      </c>
      <c r="H417">
        <v>82.33</v>
      </c>
      <c r="I417" t="s">
        <v>23</v>
      </c>
      <c r="J417" t="s">
        <v>38</v>
      </c>
    </row>
    <row r="418" spans="1:10" x14ac:dyDescent="0.25">
      <c r="A418" t="s">
        <v>122</v>
      </c>
      <c r="B418" s="1">
        <v>45238</v>
      </c>
      <c r="C418" t="s">
        <v>13</v>
      </c>
      <c r="D418">
        <v>2</v>
      </c>
      <c r="E418">
        <v>60</v>
      </c>
      <c r="F418">
        <v>10</v>
      </c>
      <c r="G418">
        <v>600</v>
      </c>
      <c r="H418">
        <v>80</v>
      </c>
      <c r="I418" t="s">
        <v>23</v>
      </c>
      <c r="J418" t="s">
        <v>38</v>
      </c>
    </row>
    <row r="419" spans="1:10" x14ac:dyDescent="0.25">
      <c r="A419" t="s">
        <v>122</v>
      </c>
      <c r="B419" s="1">
        <v>45238</v>
      </c>
      <c r="C419" t="s">
        <v>13</v>
      </c>
      <c r="D419">
        <v>3</v>
      </c>
      <c r="E419">
        <v>60</v>
      </c>
      <c r="F419">
        <v>5</v>
      </c>
      <c r="G419">
        <v>300</v>
      </c>
      <c r="H419">
        <v>70</v>
      </c>
      <c r="I419" t="s">
        <v>23</v>
      </c>
      <c r="J419" t="s">
        <v>38</v>
      </c>
    </row>
    <row r="420" spans="1:10" x14ac:dyDescent="0.25">
      <c r="A420" t="s">
        <v>122</v>
      </c>
      <c r="B420" s="1">
        <v>45238</v>
      </c>
      <c r="C420" t="s">
        <v>45</v>
      </c>
      <c r="D420">
        <v>1</v>
      </c>
      <c r="E420">
        <v>5</v>
      </c>
      <c r="F420">
        <v>20</v>
      </c>
      <c r="G420">
        <v>100</v>
      </c>
      <c r="H420">
        <v>8.33</v>
      </c>
      <c r="I420" t="s">
        <v>23</v>
      </c>
      <c r="J420" t="s">
        <v>38</v>
      </c>
    </row>
    <row r="421" spans="1:10" x14ac:dyDescent="0.25">
      <c r="A421" t="s">
        <v>122</v>
      </c>
      <c r="B421" s="1">
        <v>45238</v>
      </c>
      <c r="C421" t="s">
        <v>45</v>
      </c>
      <c r="D421">
        <v>2</v>
      </c>
      <c r="E421">
        <v>5</v>
      </c>
      <c r="F421">
        <v>20</v>
      </c>
      <c r="G421">
        <v>100</v>
      </c>
      <c r="H421">
        <v>8.33</v>
      </c>
      <c r="I421" t="s">
        <v>23</v>
      </c>
      <c r="J421" t="s">
        <v>38</v>
      </c>
    </row>
    <row r="422" spans="1:10" x14ac:dyDescent="0.25">
      <c r="A422" t="s">
        <v>122</v>
      </c>
      <c r="B422" s="1">
        <v>45238</v>
      </c>
      <c r="C422" t="s">
        <v>45</v>
      </c>
      <c r="D422">
        <v>3</v>
      </c>
      <c r="E422">
        <v>5</v>
      </c>
      <c r="F422">
        <v>20</v>
      </c>
      <c r="G422">
        <v>100</v>
      </c>
      <c r="H422">
        <v>8.33</v>
      </c>
      <c r="I422" t="s">
        <v>23</v>
      </c>
      <c r="J422" t="s">
        <v>38</v>
      </c>
    </row>
    <row r="423" spans="1:10" x14ac:dyDescent="0.25">
      <c r="A423" t="s">
        <v>122</v>
      </c>
      <c r="B423" s="1">
        <v>45238</v>
      </c>
      <c r="C423" t="s">
        <v>49</v>
      </c>
      <c r="D423">
        <v>1</v>
      </c>
      <c r="E423">
        <v>10</v>
      </c>
      <c r="F423">
        <v>20</v>
      </c>
      <c r="G423">
        <v>200</v>
      </c>
      <c r="H423">
        <v>16.670000000000002</v>
      </c>
      <c r="I423" t="s">
        <v>23</v>
      </c>
      <c r="J423" t="s">
        <v>38</v>
      </c>
    </row>
    <row r="424" spans="1:10" x14ac:dyDescent="0.25">
      <c r="A424" t="s">
        <v>122</v>
      </c>
      <c r="B424" s="1">
        <v>45238</v>
      </c>
      <c r="C424" t="s">
        <v>49</v>
      </c>
      <c r="D424">
        <v>2</v>
      </c>
      <c r="E424">
        <v>10</v>
      </c>
      <c r="F424">
        <v>20</v>
      </c>
      <c r="G424">
        <v>200</v>
      </c>
      <c r="H424">
        <v>16.670000000000002</v>
      </c>
      <c r="I424" t="s">
        <v>23</v>
      </c>
      <c r="J424" t="s">
        <v>38</v>
      </c>
    </row>
    <row r="425" spans="1:10" x14ac:dyDescent="0.25">
      <c r="A425" t="s">
        <v>122</v>
      </c>
      <c r="B425" s="1">
        <v>45238</v>
      </c>
      <c r="C425" t="s">
        <v>49</v>
      </c>
      <c r="D425">
        <v>3</v>
      </c>
      <c r="E425">
        <v>10</v>
      </c>
      <c r="F425">
        <v>20</v>
      </c>
      <c r="G425">
        <v>200</v>
      </c>
      <c r="H425">
        <v>16.670000000000002</v>
      </c>
      <c r="I425" t="s">
        <v>23</v>
      </c>
      <c r="J425" t="s">
        <v>38</v>
      </c>
    </row>
    <row r="426" spans="1:10" x14ac:dyDescent="0.25">
      <c r="A426" t="s">
        <v>123</v>
      </c>
      <c r="B426" s="1">
        <v>45239</v>
      </c>
      <c r="C426" t="s">
        <v>15</v>
      </c>
      <c r="D426">
        <v>1</v>
      </c>
      <c r="E426">
        <v>135</v>
      </c>
      <c r="F426">
        <v>10</v>
      </c>
      <c r="G426">
        <v>1350</v>
      </c>
      <c r="H426">
        <v>180</v>
      </c>
      <c r="I426" t="s">
        <v>22</v>
      </c>
      <c r="J426" t="s">
        <v>38</v>
      </c>
    </row>
    <row r="427" spans="1:10" x14ac:dyDescent="0.25">
      <c r="A427" t="s">
        <v>123</v>
      </c>
      <c r="B427" s="1">
        <v>45239</v>
      </c>
      <c r="C427" t="s">
        <v>15</v>
      </c>
      <c r="D427">
        <v>2</v>
      </c>
      <c r="E427">
        <v>155</v>
      </c>
      <c r="F427">
        <v>10</v>
      </c>
      <c r="G427">
        <v>1550</v>
      </c>
      <c r="H427">
        <v>206.67</v>
      </c>
      <c r="I427" t="s">
        <v>22</v>
      </c>
      <c r="J427" t="s">
        <v>38</v>
      </c>
    </row>
    <row r="428" spans="1:10" x14ac:dyDescent="0.25">
      <c r="A428" t="s">
        <v>123</v>
      </c>
      <c r="B428" s="1">
        <v>45239</v>
      </c>
      <c r="C428" t="s">
        <v>15</v>
      </c>
      <c r="D428">
        <v>3</v>
      </c>
      <c r="E428">
        <v>165</v>
      </c>
      <c r="F428">
        <v>10</v>
      </c>
      <c r="G428">
        <v>1650</v>
      </c>
      <c r="H428">
        <v>220</v>
      </c>
      <c r="I428" t="s">
        <v>22</v>
      </c>
      <c r="J428" t="s">
        <v>38</v>
      </c>
    </row>
    <row r="429" spans="1:10" x14ac:dyDescent="0.25">
      <c r="A429" t="s">
        <v>123</v>
      </c>
      <c r="B429" s="1">
        <v>45239</v>
      </c>
      <c r="C429" t="s">
        <v>17</v>
      </c>
      <c r="D429">
        <v>1</v>
      </c>
      <c r="E429">
        <v>95</v>
      </c>
      <c r="F429">
        <v>10</v>
      </c>
      <c r="G429">
        <v>950</v>
      </c>
      <c r="H429">
        <v>126.67</v>
      </c>
      <c r="I429" t="s">
        <v>22</v>
      </c>
      <c r="J429" t="s">
        <v>37</v>
      </c>
    </row>
    <row r="430" spans="1:10" x14ac:dyDescent="0.25">
      <c r="A430" t="s">
        <v>123</v>
      </c>
      <c r="B430" s="1">
        <v>45239</v>
      </c>
      <c r="C430" t="s">
        <v>17</v>
      </c>
      <c r="D430">
        <v>2</v>
      </c>
      <c r="E430">
        <v>105</v>
      </c>
      <c r="F430">
        <v>6</v>
      </c>
      <c r="G430">
        <v>630</v>
      </c>
      <c r="H430">
        <v>126</v>
      </c>
      <c r="I430" t="s">
        <v>22</v>
      </c>
      <c r="J430" t="s">
        <v>37</v>
      </c>
    </row>
    <row r="431" spans="1:10" x14ac:dyDescent="0.25">
      <c r="A431" t="s">
        <v>123</v>
      </c>
      <c r="B431" s="1">
        <v>45239</v>
      </c>
      <c r="C431" t="s">
        <v>17</v>
      </c>
      <c r="D431">
        <v>3</v>
      </c>
      <c r="E431">
        <v>110</v>
      </c>
      <c r="F431">
        <v>12</v>
      </c>
      <c r="G431">
        <v>1320</v>
      </c>
      <c r="H431">
        <v>154</v>
      </c>
      <c r="I431" t="s">
        <v>22</v>
      </c>
      <c r="J431" t="s">
        <v>37</v>
      </c>
    </row>
    <row r="432" spans="1:10" x14ac:dyDescent="0.25">
      <c r="A432" t="s">
        <v>123</v>
      </c>
      <c r="B432" s="1">
        <v>45239</v>
      </c>
      <c r="C432" t="s">
        <v>17</v>
      </c>
      <c r="D432">
        <v>4</v>
      </c>
      <c r="E432">
        <v>105</v>
      </c>
      <c r="F432">
        <v>8</v>
      </c>
      <c r="G432">
        <v>840</v>
      </c>
      <c r="H432">
        <v>133</v>
      </c>
      <c r="I432" t="s">
        <v>22</v>
      </c>
      <c r="J432" t="s">
        <v>37</v>
      </c>
    </row>
    <row r="433" spans="1:10" x14ac:dyDescent="0.25">
      <c r="A433" t="s">
        <v>123</v>
      </c>
      <c r="B433" s="1">
        <v>45239</v>
      </c>
      <c r="C433" t="s">
        <v>17</v>
      </c>
      <c r="D433">
        <v>5</v>
      </c>
      <c r="E433">
        <v>95</v>
      </c>
      <c r="F433">
        <v>10</v>
      </c>
      <c r="G433">
        <v>950</v>
      </c>
      <c r="H433">
        <v>126.67</v>
      </c>
      <c r="I433" t="s">
        <v>22</v>
      </c>
      <c r="J433" t="s">
        <v>37</v>
      </c>
    </row>
    <row r="434" spans="1:10" x14ac:dyDescent="0.25">
      <c r="A434" t="s">
        <v>123</v>
      </c>
      <c r="B434" s="1">
        <v>45239</v>
      </c>
      <c r="C434" t="s">
        <v>11</v>
      </c>
      <c r="D434">
        <v>1</v>
      </c>
      <c r="E434">
        <v>165</v>
      </c>
      <c r="F434">
        <v>10</v>
      </c>
      <c r="G434">
        <v>1650</v>
      </c>
      <c r="H434">
        <v>220</v>
      </c>
      <c r="I434" t="s">
        <v>22</v>
      </c>
      <c r="J434" t="s">
        <v>37</v>
      </c>
    </row>
    <row r="435" spans="1:10" x14ac:dyDescent="0.25">
      <c r="A435" t="s">
        <v>123</v>
      </c>
      <c r="B435" s="1">
        <v>45239</v>
      </c>
      <c r="C435" t="s">
        <v>11</v>
      </c>
      <c r="D435">
        <v>2</v>
      </c>
      <c r="E435">
        <v>170</v>
      </c>
      <c r="F435">
        <v>10</v>
      </c>
      <c r="G435">
        <v>1700</v>
      </c>
      <c r="H435">
        <v>226.67</v>
      </c>
      <c r="I435" t="s">
        <v>22</v>
      </c>
      <c r="J435" t="s">
        <v>37</v>
      </c>
    </row>
    <row r="436" spans="1:10" x14ac:dyDescent="0.25">
      <c r="A436" t="s">
        <v>123</v>
      </c>
      <c r="B436" s="1">
        <v>45239</v>
      </c>
      <c r="C436" t="s">
        <v>11</v>
      </c>
      <c r="D436">
        <v>3</v>
      </c>
      <c r="E436">
        <v>170</v>
      </c>
      <c r="F436">
        <v>10</v>
      </c>
      <c r="G436">
        <v>1700</v>
      </c>
      <c r="H436">
        <v>226.67</v>
      </c>
      <c r="I436" t="s">
        <v>22</v>
      </c>
      <c r="J436" t="s">
        <v>37</v>
      </c>
    </row>
    <row r="437" spans="1:10" x14ac:dyDescent="0.25">
      <c r="A437" t="s">
        <v>124</v>
      </c>
      <c r="B437" s="1">
        <v>45242</v>
      </c>
      <c r="C437" t="s">
        <v>20</v>
      </c>
      <c r="D437">
        <v>1</v>
      </c>
      <c r="E437">
        <v>170</v>
      </c>
      <c r="F437">
        <v>12</v>
      </c>
      <c r="G437">
        <v>2040</v>
      </c>
      <c r="H437">
        <v>238</v>
      </c>
      <c r="I437" t="s">
        <v>21</v>
      </c>
      <c r="J437" t="s">
        <v>38</v>
      </c>
    </row>
    <row r="438" spans="1:10" x14ac:dyDescent="0.25">
      <c r="A438" t="s">
        <v>124</v>
      </c>
      <c r="B438" s="1">
        <v>45242</v>
      </c>
      <c r="C438" t="s">
        <v>20</v>
      </c>
      <c r="D438">
        <v>2</v>
      </c>
      <c r="E438">
        <v>210</v>
      </c>
      <c r="F438">
        <v>12</v>
      </c>
      <c r="G438">
        <v>2520</v>
      </c>
      <c r="H438">
        <v>294</v>
      </c>
      <c r="I438" t="s">
        <v>21</v>
      </c>
      <c r="J438" t="s">
        <v>38</v>
      </c>
    </row>
    <row r="439" spans="1:10" x14ac:dyDescent="0.25">
      <c r="A439" t="s">
        <v>124</v>
      </c>
      <c r="B439" s="1">
        <v>45242</v>
      </c>
      <c r="C439" t="s">
        <v>20</v>
      </c>
      <c r="D439">
        <v>3</v>
      </c>
      <c r="E439">
        <v>220</v>
      </c>
      <c r="F439">
        <v>12</v>
      </c>
      <c r="G439">
        <v>2640</v>
      </c>
      <c r="H439">
        <v>308</v>
      </c>
      <c r="I439" t="s">
        <v>21</v>
      </c>
      <c r="J439" t="s">
        <v>38</v>
      </c>
    </row>
    <row r="440" spans="1:10" x14ac:dyDescent="0.25">
      <c r="A440" t="s">
        <v>124</v>
      </c>
      <c r="B440" s="1">
        <v>45242</v>
      </c>
      <c r="C440" t="s">
        <v>10</v>
      </c>
      <c r="D440">
        <v>1</v>
      </c>
      <c r="E440">
        <v>70</v>
      </c>
      <c r="F440">
        <v>10</v>
      </c>
      <c r="G440">
        <v>700</v>
      </c>
      <c r="H440">
        <v>93.33</v>
      </c>
      <c r="I440" t="s">
        <v>21</v>
      </c>
      <c r="J440" t="s">
        <v>38</v>
      </c>
    </row>
    <row r="441" spans="1:10" x14ac:dyDescent="0.25">
      <c r="A441" t="s">
        <v>124</v>
      </c>
      <c r="B441" s="1">
        <v>45242</v>
      </c>
      <c r="C441" t="s">
        <v>10</v>
      </c>
      <c r="D441">
        <v>2</v>
      </c>
      <c r="E441">
        <v>65</v>
      </c>
      <c r="F441">
        <v>4</v>
      </c>
      <c r="G441">
        <v>260</v>
      </c>
      <c r="H441">
        <v>73.67</v>
      </c>
      <c r="I441" t="s">
        <v>21</v>
      </c>
      <c r="J441" t="s">
        <v>38</v>
      </c>
    </row>
    <row r="442" spans="1:10" x14ac:dyDescent="0.25">
      <c r="A442" t="s">
        <v>124</v>
      </c>
      <c r="B442" s="1">
        <v>45242</v>
      </c>
      <c r="C442" t="s">
        <v>10</v>
      </c>
      <c r="D442">
        <v>3</v>
      </c>
      <c r="E442">
        <v>65</v>
      </c>
      <c r="F442">
        <v>9</v>
      </c>
      <c r="G442">
        <v>585</v>
      </c>
      <c r="H442">
        <v>84.5</v>
      </c>
      <c r="I442" t="s">
        <v>21</v>
      </c>
      <c r="J442" t="s">
        <v>38</v>
      </c>
    </row>
    <row r="443" spans="1:10" x14ac:dyDescent="0.25">
      <c r="A443" t="s">
        <v>124</v>
      </c>
      <c r="B443" s="1">
        <v>45242</v>
      </c>
      <c r="C443" t="s">
        <v>10</v>
      </c>
      <c r="D443">
        <v>4</v>
      </c>
      <c r="E443">
        <v>60</v>
      </c>
      <c r="F443">
        <v>4</v>
      </c>
      <c r="G443">
        <v>240</v>
      </c>
      <c r="H443">
        <v>68</v>
      </c>
      <c r="I443" t="s">
        <v>21</v>
      </c>
      <c r="J443" t="s">
        <v>38</v>
      </c>
    </row>
    <row r="444" spans="1:10" x14ac:dyDescent="0.25">
      <c r="A444" t="s">
        <v>124</v>
      </c>
      <c r="B444" s="1">
        <v>45242</v>
      </c>
      <c r="C444" t="s">
        <v>10</v>
      </c>
      <c r="D444">
        <v>5</v>
      </c>
      <c r="E444">
        <v>60</v>
      </c>
      <c r="F444">
        <v>12</v>
      </c>
      <c r="G444">
        <v>720</v>
      </c>
      <c r="H444">
        <v>84</v>
      </c>
      <c r="I444" t="s">
        <v>21</v>
      </c>
      <c r="J444" t="s">
        <v>38</v>
      </c>
    </row>
    <row r="445" spans="1:10" x14ac:dyDescent="0.25">
      <c r="A445" t="s">
        <v>124</v>
      </c>
      <c r="B445" s="1">
        <v>45242</v>
      </c>
      <c r="C445" t="s">
        <v>10</v>
      </c>
      <c r="D445">
        <v>6</v>
      </c>
      <c r="E445">
        <v>60</v>
      </c>
      <c r="F445">
        <v>3</v>
      </c>
      <c r="G445">
        <v>180</v>
      </c>
      <c r="H445">
        <v>66</v>
      </c>
      <c r="I445" t="s">
        <v>21</v>
      </c>
      <c r="J445" t="s">
        <v>38</v>
      </c>
    </row>
    <row r="446" spans="1:10" x14ac:dyDescent="0.25">
      <c r="A446" t="s">
        <v>124</v>
      </c>
      <c r="B446" s="1">
        <v>45242</v>
      </c>
      <c r="C446" t="s">
        <v>10</v>
      </c>
      <c r="D446">
        <v>7</v>
      </c>
      <c r="E446">
        <v>60</v>
      </c>
      <c r="F446">
        <v>10</v>
      </c>
      <c r="G446">
        <v>600</v>
      </c>
      <c r="H446">
        <v>80</v>
      </c>
      <c r="I446" t="s">
        <v>21</v>
      </c>
      <c r="J446" t="s">
        <v>38</v>
      </c>
    </row>
    <row r="447" spans="1:10" x14ac:dyDescent="0.25">
      <c r="A447" t="s">
        <v>124</v>
      </c>
      <c r="B447" s="1">
        <v>45242</v>
      </c>
      <c r="C447" t="s">
        <v>10</v>
      </c>
      <c r="D447">
        <v>8</v>
      </c>
      <c r="E447">
        <v>60</v>
      </c>
      <c r="F447">
        <v>3</v>
      </c>
      <c r="G447">
        <v>180</v>
      </c>
      <c r="H447">
        <v>66</v>
      </c>
      <c r="I447" t="s">
        <v>21</v>
      </c>
      <c r="J447" t="s">
        <v>38</v>
      </c>
    </row>
    <row r="448" spans="1:10" x14ac:dyDescent="0.25">
      <c r="A448" t="s">
        <v>124</v>
      </c>
      <c r="B448" s="1">
        <v>45242</v>
      </c>
      <c r="C448" t="s">
        <v>16</v>
      </c>
      <c r="D448">
        <v>1</v>
      </c>
      <c r="E448">
        <v>65</v>
      </c>
      <c r="F448">
        <v>15</v>
      </c>
      <c r="G448">
        <v>975</v>
      </c>
      <c r="H448">
        <v>97.5</v>
      </c>
      <c r="I448" t="s">
        <v>21</v>
      </c>
      <c r="J448" t="s">
        <v>38</v>
      </c>
    </row>
    <row r="449" spans="1:10" x14ac:dyDescent="0.25">
      <c r="A449" t="s">
        <v>124</v>
      </c>
      <c r="B449" s="1">
        <v>45242</v>
      </c>
      <c r="C449" t="s">
        <v>16</v>
      </c>
      <c r="D449">
        <v>2</v>
      </c>
      <c r="E449">
        <v>70</v>
      </c>
      <c r="F449">
        <v>12</v>
      </c>
      <c r="G449">
        <v>840</v>
      </c>
      <c r="H449">
        <v>98</v>
      </c>
      <c r="I449" t="s">
        <v>21</v>
      </c>
      <c r="J449" t="s">
        <v>38</v>
      </c>
    </row>
    <row r="450" spans="1:10" x14ac:dyDescent="0.25">
      <c r="A450" t="s">
        <v>124</v>
      </c>
      <c r="B450" s="1">
        <v>45242</v>
      </c>
      <c r="C450" t="s">
        <v>16</v>
      </c>
      <c r="D450">
        <v>3</v>
      </c>
      <c r="E450">
        <v>50</v>
      </c>
      <c r="F450">
        <v>15</v>
      </c>
      <c r="G450">
        <v>750</v>
      </c>
      <c r="H450">
        <v>75</v>
      </c>
      <c r="I450" t="s">
        <v>21</v>
      </c>
      <c r="J450" t="s">
        <v>38</v>
      </c>
    </row>
    <row r="451" spans="1:10" x14ac:dyDescent="0.25">
      <c r="A451" t="s">
        <v>124</v>
      </c>
      <c r="B451" s="1">
        <v>45242</v>
      </c>
      <c r="C451" t="s">
        <v>19</v>
      </c>
      <c r="D451">
        <v>1</v>
      </c>
      <c r="E451">
        <v>170</v>
      </c>
      <c r="F451">
        <v>10</v>
      </c>
      <c r="G451">
        <v>1700</v>
      </c>
      <c r="H451">
        <v>226.67</v>
      </c>
      <c r="I451" t="s">
        <v>21</v>
      </c>
      <c r="J451" t="s">
        <v>37</v>
      </c>
    </row>
    <row r="452" spans="1:10" x14ac:dyDescent="0.25">
      <c r="A452" t="s">
        <v>124</v>
      </c>
      <c r="B452" s="1">
        <v>45242</v>
      </c>
      <c r="C452" t="s">
        <v>19</v>
      </c>
      <c r="D452">
        <v>2</v>
      </c>
      <c r="E452">
        <v>170</v>
      </c>
      <c r="F452">
        <v>9</v>
      </c>
      <c r="G452">
        <v>1530</v>
      </c>
      <c r="H452">
        <v>221</v>
      </c>
      <c r="I452" t="s">
        <v>21</v>
      </c>
      <c r="J452" t="s">
        <v>37</v>
      </c>
    </row>
    <row r="453" spans="1:10" x14ac:dyDescent="0.25">
      <c r="A453" t="s">
        <v>124</v>
      </c>
      <c r="B453" s="1">
        <v>45242</v>
      </c>
      <c r="C453" t="s">
        <v>19</v>
      </c>
      <c r="D453">
        <v>3</v>
      </c>
      <c r="E453">
        <v>170</v>
      </c>
      <c r="F453">
        <v>8</v>
      </c>
      <c r="G453">
        <v>1360</v>
      </c>
      <c r="H453">
        <v>215.33</v>
      </c>
      <c r="I453" t="s">
        <v>21</v>
      </c>
      <c r="J453" t="s">
        <v>37</v>
      </c>
    </row>
    <row r="454" spans="1:10" x14ac:dyDescent="0.25">
      <c r="A454" t="s">
        <v>125</v>
      </c>
      <c r="B454" s="1">
        <v>45243</v>
      </c>
      <c r="C454" t="s">
        <v>12</v>
      </c>
      <c r="D454">
        <v>1</v>
      </c>
      <c r="E454">
        <v>125</v>
      </c>
      <c r="F454">
        <v>7</v>
      </c>
      <c r="G454">
        <v>875</v>
      </c>
      <c r="H454">
        <v>154.16999999999999</v>
      </c>
      <c r="I454" t="s">
        <v>23</v>
      </c>
      <c r="J454" t="s">
        <v>37</v>
      </c>
    </row>
    <row r="455" spans="1:10" x14ac:dyDescent="0.25">
      <c r="A455" t="s">
        <v>125</v>
      </c>
      <c r="B455" s="1">
        <v>45243</v>
      </c>
      <c r="C455" t="s">
        <v>12</v>
      </c>
      <c r="D455">
        <v>2</v>
      </c>
      <c r="E455">
        <v>125</v>
      </c>
      <c r="F455">
        <v>7</v>
      </c>
      <c r="G455">
        <v>875</v>
      </c>
      <c r="H455">
        <v>154.16999999999999</v>
      </c>
      <c r="I455" t="s">
        <v>23</v>
      </c>
      <c r="J455" t="s">
        <v>37</v>
      </c>
    </row>
    <row r="456" spans="1:10" x14ac:dyDescent="0.25">
      <c r="A456" t="s">
        <v>125</v>
      </c>
      <c r="B456" s="1">
        <v>45243</v>
      </c>
      <c r="C456" t="s">
        <v>12</v>
      </c>
      <c r="D456">
        <v>3</v>
      </c>
      <c r="E456">
        <v>125</v>
      </c>
      <c r="F456">
        <v>5</v>
      </c>
      <c r="G456">
        <v>625</v>
      </c>
      <c r="H456">
        <v>145.83000000000001</v>
      </c>
      <c r="I456" t="s">
        <v>23</v>
      </c>
      <c r="J456" t="s">
        <v>37</v>
      </c>
    </row>
    <row r="457" spans="1:10" x14ac:dyDescent="0.25">
      <c r="A457" t="s">
        <v>125</v>
      </c>
      <c r="B457" s="1">
        <v>45243</v>
      </c>
      <c r="C457" t="s">
        <v>18</v>
      </c>
      <c r="D457">
        <v>1</v>
      </c>
      <c r="E457">
        <v>45</v>
      </c>
      <c r="F457">
        <v>15</v>
      </c>
      <c r="G457">
        <v>675</v>
      </c>
      <c r="H457">
        <v>67.5</v>
      </c>
      <c r="I457" t="s">
        <v>23</v>
      </c>
      <c r="J457" t="s">
        <v>38</v>
      </c>
    </row>
    <row r="458" spans="1:10" x14ac:dyDescent="0.25">
      <c r="A458" t="s">
        <v>125</v>
      </c>
      <c r="B458" s="1">
        <v>45243</v>
      </c>
      <c r="C458" t="s">
        <v>18</v>
      </c>
      <c r="D458">
        <v>2</v>
      </c>
      <c r="E458">
        <v>95</v>
      </c>
      <c r="F458">
        <v>12</v>
      </c>
      <c r="G458">
        <v>1140</v>
      </c>
      <c r="H458">
        <v>133</v>
      </c>
      <c r="I458" t="s">
        <v>23</v>
      </c>
      <c r="J458" t="s">
        <v>38</v>
      </c>
    </row>
    <row r="459" spans="1:10" x14ac:dyDescent="0.25">
      <c r="A459" t="s">
        <v>125</v>
      </c>
      <c r="B459" s="1">
        <v>45243</v>
      </c>
      <c r="C459" t="s">
        <v>18</v>
      </c>
      <c r="D459">
        <v>3</v>
      </c>
      <c r="E459">
        <v>125</v>
      </c>
      <c r="F459">
        <v>9</v>
      </c>
      <c r="G459">
        <v>1125</v>
      </c>
      <c r="H459">
        <v>162.5</v>
      </c>
      <c r="I459" t="s">
        <v>23</v>
      </c>
      <c r="J459" t="s">
        <v>38</v>
      </c>
    </row>
    <row r="460" spans="1:10" x14ac:dyDescent="0.25">
      <c r="A460" t="s">
        <v>125</v>
      </c>
      <c r="B460" s="1">
        <v>45243</v>
      </c>
      <c r="C460" t="s">
        <v>18</v>
      </c>
      <c r="D460">
        <v>4</v>
      </c>
      <c r="E460">
        <v>120</v>
      </c>
      <c r="F460">
        <v>10</v>
      </c>
      <c r="G460">
        <v>1200</v>
      </c>
      <c r="H460">
        <v>160</v>
      </c>
      <c r="I460" t="s">
        <v>23</v>
      </c>
      <c r="J460" t="s">
        <v>38</v>
      </c>
    </row>
    <row r="461" spans="1:10" x14ac:dyDescent="0.25">
      <c r="A461" t="s">
        <v>125</v>
      </c>
      <c r="B461" s="1">
        <v>45243</v>
      </c>
      <c r="C461" t="s">
        <v>18</v>
      </c>
      <c r="D461">
        <v>5</v>
      </c>
      <c r="E461">
        <v>95</v>
      </c>
      <c r="F461">
        <v>10</v>
      </c>
      <c r="G461">
        <v>950</v>
      </c>
      <c r="H461">
        <v>126.67</v>
      </c>
      <c r="I461" t="s">
        <v>23</v>
      </c>
      <c r="J461" t="s">
        <v>38</v>
      </c>
    </row>
    <row r="462" spans="1:10" x14ac:dyDescent="0.25">
      <c r="A462" t="s">
        <v>125</v>
      </c>
      <c r="B462" s="1">
        <v>45243</v>
      </c>
      <c r="C462" t="s">
        <v>13</v>
      </c>
      <c r="D462">
        <v>1</v>
      </c>
      <c r="E462">
        <v>60</v>
      </c>
      <c r="F462">
        <v>14</v>
      </c>
      <c r="G462">
        <v>840</v>
      </c>
      <c r="H462">
        <v>88</v>
      </c>
      <c r="I462" t="s">
        <v>23</v>
      </c>
      <c r="J462" t="s">
        <v>38</v>
      </c>
    </row>
    <row r="463" spans="1:10" x14ac:dyDescent="0.25">
      <c r="A463" t="s">
        <v>125</v>
      </c>
      <c r="B463" s="1">
        <v>45243</v>
      </c>
      <c r="C463" t="s">
        <v>13</v>
      </c>
      <c r="D463">
        <v>2</v>
      </c>
      <c r="E463">
        <v>65</v>
      </c>
      <c r="F463">
        <v>10</v>
      </c>
      <c r="G463">
        <v>650</v>
      </c>
      <c r="H463">
        <v>86.67</v>
      </c>
      <c r="I463" t="s">
        <v>23</v>
      </c>
      <c r="J463" t="s">
        <v>38</v>
      </c>
    </row>
    <row r="464" spans="1:10" x14ac:dyDescent="0.25">
      <c r="A464" t="s">
        <v>125</v>
      </c>
      <c r="B464" s="1">
        <v>45243</v>
      </c>
      <c r="C464" t="s">
        <v>13</v>
      </c>
      <c r="D464">
        <v>3</v>
      </c>
      <c r="E464">
        <v>65</v>
      </c>
      <c r="F464">
        <v>7</v>
      </c>
      <c r="G464">
        <v>455</v>
      </c>
      <c r="H464">
        <v>80.17</v>
      </c>
      <c r="I464" t="s">
        <v>23</v>
      </c>
      <c r="J464" t="s">
        <v>38</v>
      </c>
    </row>
    <row r="465" spans="1:10" x14ac:dyDescent="0.25">
      <c r="A465" t="s">
        <v>125</v>
      </c>
      <c r="B465" s="1">
        <v>45243</v>
      </c>
      <c r="C465" t="s">
        <v>45</v>
      </c>
      <c r="D465">
        <v>1</v>
      </c>
      <c r="E465">
        <v>10</v>
      </c>
      <c r="F465">
        <v>15</v>
      </c>
      <c r="G465">
        <v>150</v>
      </c>
      <c r="H465">
        <v>15</v>
      </c>
      <c r="I465" t="s">
        <v>23</v>
      </c>
      <c r="J465" t="s">
        <v>38</v>
      </c>
    </row>
    <row r="466" spans="1:10" x14ac:dyDescent="0.25">
      <c r="A466" t="s">
        <v>125</v>
      </c>
      <c r="B466" s="1">
        <v>45243</v>
      </c>
      <c r="C466" t="s">
        <v>45</v>
      </c>
      <c r="D466">
        <v>2</v>
      </c>
      <c r="E466">
        <v>10</v>
      </c>
      <c r="F466">
        <v>15</v>
      </c>
      <c r="G466">
        <v>150</v>
      </c>
      <c r="H466">
        <v>15</v>
      </c>
      <c r="I466" t="s">
        <v>23</v>
      </c>
      <c r="J466" t="s">
        <v>38</v>
      </c>
    </row>
    <row r="467" spans="1:10" x14ac:dyDescent="0.25">
      <c r="A467" t="s">
        <v>125</v>
      </c>
      <c r="B467" s="1">
        <v>45243</v>
      </c>
      <c r="C467" t="s">
        <v>45</v>
      </c>
      <c r="D467">
        <v>3</v>
      </c>
      <c r="E467">
        <v>10</v>
      </c>
      <c r="F467">
        <v>13</v>
      </c>
      <c r="G467">
        <v>130</v>
      </c>
      <c r="H467">
        <v>14.33</v>
      </c>
      <c r="I467" t="s">
        <v>23</v>
      </c>
      <c r="J467" t="s">
        <v>38</v>
      </c>
    </row>
    <row r="468" spans="1:10" x14ac:dyDescent="0.25">
      <c r="A468" t="s">
        <v>125</v>
      </c>
      <c r="B468" s="1">
        <v>45243</v>
      </c>
      <c r="C468" t="s">
        <v>49</v>
      </c>
      <c r="D468">
        <v>1</v>
      </c>
      <c r="E468">
        <v>10</v>
      </c>
      <c r="F468">
        <v>20</v>
      </c>
      <c r="G468">
        <v>200</v>
      </c>
      <c r="H468">
        <v>16.670000000000002</v>
      </c>
      <c r="I468" t="s">
        <v>23</v>
      </c>
      <c r="J468" t="s">
        <v>38</v>
      </c>
    </row>
    <row r="469" spans="1:10" x14ac:dyDescent="0.25">
      <c r="A469" t="s">
        <v>125</v>
      </c>
      <c r="B469" s="1">
        <v>45243</v>
      </c>
      <c r="C469" t="s">
        <v>49</v>
      </c>
      <c r="D469">
        <v>2</v>
      </c>
      <c r="E469">
        <v>10</v>
      </c>
      <c r="F469">
        <v>20</v>
      </c>
      <c r="G469">
        <v>200</v>
      </c>
      <c r="H469">
        <v>16.670000000000002</v>
      </c>
      <c r="I469" t="s">
        <v>23</v>
      </c>
      <c r="J469" t="s">
        <v>38</v>
      </c>
    </row>
    <row r="470" spans="1:10" x14ac:dyDescent="0.25">
      <c r="A470" t="s">
        <v>125</v>
      </c>
      <c r="B470" s="1">
        <v>45243</v>
      </c>
      <c r="C470" t="s">
        <v>49</v>
      </c>
      <c r="D470">
        <v>3</v>
      </c>
      <c r="E470">
        <v>10</v>
      </c>
      <c r="F470">
        <v>20</v>
      </c>
      <c r="G470">
        <v>200</v>
      </c>
      <c r="H470">
        <v>16.670000000000002</v>
      </c>
      <c r="I470" t="s">
        <v>23</v>
      </c>
      <c r="J470" t="s">
        <v>38</v>
      </c>
    </row>
    <row r="471" spans="1:10" x14ac:dyDescent="0.25">
      <c r="A471" t="s">
        <v>126</v>
      </c>
      <c r="B471" s="1">
        <v>45244</v>
      </c>
      <c r="C471" t="s">
        <v>15</v>
      </c>
      <c r="D471">
        <v>1</v>
      </c>
      <c r="E471">
        <v>95</v>
      </c>
      <c r="F471">
        <v>10</v>
      </c>
      <c r="G471">
        <v>950</v>
      </c>
      <c r="H471">
        <v>126.67</v>
      </c>
      <c r="I471" t="s">
        <v>22</v>
      </c>
      <c r="J471" t="s">
        <v>38</v>
      </c>
    </row>
    <row r="472" spans="1:10" x14ac:dyDescent="0.25">
      <c r="A472" t="s">
        <v>126</v>
      </c>
      <c r="B472" s="1">
        <v>45244</v>
      </c>
      <c r="C472" t="s">
        <v>15</v>
      </c>
      <c r="D472">
        <v>2</v>
      </c>
      <c r="E472">
        <v>135</v>
      </c>
      <c r="F472">
        <v>10</v>
      </c>
      <c r="G472">
        <v>1350</v>
      </c>
      <c r="H472">
        <v>180</v>
      </c>
      <c r="I472" t="s">
        <v>22</v>
      </c>
      <c r="J472" t="s">
        <v>38</v>
      </c>
    </row>
    <row r="473" spans="1:10" x14ac:dyDescent="0.25">
      <c r="A473" t="s">
        <v>126</v>
      </c>
      <c r="B473" s="1">
        <v>45244</v>
      </c>
      <c r="C473" t="s">
        <v>15</v>
      </c>
      <c r="D473">
        <v>3</v>
      </c>
      <c r="E473">
        <v>160</v>
      </c>
      <c r="F473">
        <v>8</v>
      </c>
      <c r="G473">
        <v>1280</v>
      </c>
      <c r="H473">
        <v>202.67</v>
      </c>
      <c r="I473" t="s">
        <v>22</v>
      </c>
      <c r="J473" t="s">
        <v>38</v>
      </c>
    </row>
    <row r="474" spans="1:10" x14ac:dyDescent="0.25">
      <c r="A474" t="s">
        <v>126</v>
      </c>
      <c r="B474" s="1">
        <v>45244</v>
      </c>
      <c r="C474" t="s">
        <v>15</v>
      </c>
      <c r="D474">
        <v>4</v>
      </c>
      <c r="E474">
        <v>160</v>
      </c>
      <c r="F474">
        <v>6</v>
      </c>
      <c r="G474">
        <v>960</v>
      </c>
      <c r="H474">
        <v>192</v>
      </c>
      <c r="I474" t="s">
        <v>22</v>
      </c>
      <c r="J474" t="s">
        <v>38</v>
      </c>
    </row>
    <row r="475" spans="1:10" x14ac:dyDescent="0.25">
      <c r="A475" t="s">
        <v>126</v>
      </c>
      <c r="B475" s="1">
        <v>45244</v>
      </c>
      <c r="C475" t="s">
        <v>17</v>
      </c>
      <c r="D475">
        <v>1</v>
      </c>
      <c r="E475">
        <v>75</v>
      </c>
      <c r="F475">
        <v>12</v>
      </c>
      <c r="G475">
        <v>900</v>
      </c>
      <c r="H475">
        <v>105</v>
      </c>
      <c r="I475" t="s">
        <v>22</v>
      </c>
      <c r="J475" t="s">
        <v>37</v>
      </c>
    </row>
    <row r="476" spans="1:10" x14ac:dyDescent="0.25">
      <c r="A476" t="s">
        <v>126</v>
      </c>
      <c r="B476" s="1">
        <v>45244</v>
      </c>
      <c r="C476" t="s">
        <v>17</v>
      </c>
      <c r="D476">
        <v>2</v>
      </c>
      <c r="E476">
        <v>105</v>
      </c>
      <c r="F476">
        <v>10</v>
      </c>
      <c r="G476">
        <v>1050</v>
      </c>
      <c r="H476">
        <v>140</v>
      </c>
      <c r="I476" t="s">
        <v>22</v>
      </c>
      <c r="J476" t="s">
        <v>37</v>
      </c>
    </row>
    <row r="477" spans="1:10" x14ac:dyDescent="0.25">
      <c r="A477" t="s">
        <v>126</v>
      </c>
      <c r="B477" s="1">
        <v>45244</v>
      </c>
      <c r="C477" t="s">
        <v>17</v>
      </c>
      <c r="D477">
        <v>3</v>
      </c>
      <c r="E477">
        <v>115</v>
      </c>
      <c r="F477">
        <v>12</v>
      </c>
      <c r="G477">
        <v>1380</v>
      </c>
      <c r="H477">
        <v>161</v>
      </c>
      <c r="I477" t="s">
        <v>22</v>
      </c>
      <c r="J477" t="s">
        <v>37</v>
      </c>
    </row>
    <row r="478" spans="1:10" x14ac:dyDescent="0.25">
      <c r="A478" t="s">
        <v>126</v>
      </c>
      <c r="B478" s="1">
        <v>45244</v>
      </c>
      <c r="C478" t="s">
        <v>17</v>
      </c>
      <c r="D478">
        <v>4</v>
      </c>
      <c r="E478">
        <v>105</v>
      </c>
      <c r="F478">
        <v>8</v>
      </c>
      <c r="G478">
        <v>840</v>
      </c>
      <c r="H478">
        <v>133</v>
      </c>
      <c r="I478" t="s">
        <v>22</v>
      </c>
      <c r="J478" t="s">
        <v>37</v>
      </c>
    </row>
    <row r="479" spans="1:10" x14ac:dyDescent="0.25">
      <c r="A479" t="s">
        <v>126</v>
      </c>
      <c r="B479" s="1">
        <v>45244</v>
      </c>
      <c r="C479" t="s">
        <v>11</v>
      </c>
      <c r="D479">
        <v>1</v>
      </c>
      <c r="E479">
        <v>170</v>
      </c>
      <c r="F479">
        <v>10</v>
      </c>
      <c r="G479">
        <v>1700</v>
      </c>
      <c r="H479">
        <v>226.67</v>
      </c>
      <c r="I479" t="s">
        <v>22</v>
      </c>
      <c r="J479" t="s">
        <v>37</v>
      </c>
    </row>
    <row r="480" spans="1:10" x14ac:dyDescent="0.25">
      <c r="A480" t="s">
        <v>126</v>
      </c>
      <c r="B480" s="1">
        <v>45244</v>
      </c>
      <c r="C480" t="s">
        <v>11</v>
      </c>
      <c r="D480">
        <v>2</v>
      </c>
      <c r="E480">
        <v>170</v>
      </c>
      <c r="F480">
        <v>12</v>
      </c>
      <c r="G480">
        <v>2040</v>
      </c>
      <c r="H480">
        <v>238</v>
      </c>
      <c r="I480" t="s">
        <v>22</v>
      </c>
      <c r="J480" t="s">
        <v>37</v>
      </c>
    </row>
    <row r="481" spans="1:10" x14ac:dyDescent="0.25">
      <c r="A481" t="s">
        <v>126</v>
      </c>
      <c r="B481" s="1">
        <v>45244</v>
      </c>
      <c r="C481" t="s">
        <v>11</v>
      </c>
      <c r="D481">
        <v>3</v>
      </c>
      <c r="E481">
        <v>170</v>
      </c>
      <c r="F481">
        <v>12</v>
      </c>
      <c r="G481">
        <v>2040</v>
      </c>
      <c r="H481">
        <v>238</v>
      </c>
      <c r="I481" t="s">
        <v>22</v>
      </c>
      <c r="J481" t="s">
        <v>37</v>
      </c>
    </row>
    <row r="482" spans="1:10" x14ac:dyDescent="0.25">
      <c r="A482" t="s">
        <v>127</v>
      </c>
      <c r="B482" s="1">
        <v>45246</v>
      </c>
      <c r="C482" t="s">
        <v>9</v>
      </c>
      <c r="D482">
        <v>1</v>
      </c>
      <c r="E482">
        <v>65</v>
      </c>
      <c r="F482">
        <v>12</v>
      </c>
      <c r="G482">
        <v>780</v>
      </c>
      <c r="H482">
        <v>91</v>
      </c>
      <c r="I482" t="s">
        <v>21</v>
      </c>
      <c r="J482" t="s">
        <v>37</v>
      </c>
    </row>
    <row r="483" spans="1:10" x14ac:dyDescent="0.25">
      <c r="A483" t="s">
        <v>127</v>
      </c>
      <c r="B483" s="1">
        <v>45246</v>
      </c>
      <c r="C483" t="s">
        <v>9</v>
      </c>
      <c r="D483">
        <v>2</v>
      </c>
      <c r="E483">
        <v>95</v>
      </c>
      <c r="F483">
        <v>12</v>
      </c>
      <c r="G483">
        <v>1140</v>
      </c>
      <c r="H483">
        <v>133</v>
      </c>
      <c r="I483" t="s">
        <v>21</v>
      </c>
      <c r="J483" t="s">
        <v>37</v>
      </c>
    </row>
    <row r="484" spans="1:10" x14ac:dyDescent="0.25">
      <c r="A484" t="s">
        <v>127</v>
      </c>
      <c r="B484" s="1">
        <v>45246</v>
      </c>
      <c r="C484" t="s">
        <v>9</v>
      </c>
      <c r="D484">
        <v>3</v>
      </c>
      <c r="E484">
        <v>95</v>
      </c>
      <c r="F484">
        <v>12</v>
      </c>
      <c r="G484">
        <v>1140</v>
      </c>
      <c r="H484">
        <v>133</v>
      </c>
      <c r="I484" t="s">
        <v>21</v>
      </c>
      <c r="J484" t="s">
        <v>37</v>
      </c>
    </row>
    <row r="485" spans="1:10" x14ac:dyDescent="0.25">
      <c r="A485" t="s">
        <v>127</v>
      </c>
      <c r="B485" s="1">
        <v>45246</v>
      </c>
      <c r="C485" t="s">
        <v>9</v>
      </c>
      <c r="D485">
        <v>4</v>
      </c>
      <c r="E485">
        <v>95</v>
      </c>
      <c r="F485">
        <v>12</v>
      </c>
      <c r="G485">
        <v>1140</v>
      </c>
      <c r="H485">
        <v>133</v>
      </c>
      <c r="I485" t="s">
        <v>21</v>
      </c>
      <c r="J485" t="s">
        <v>37</v>
      </c>
    </row>
    <row r="486" spans="1:10" x14ac:dyDescent="0.25">
      <c r="A486" t="s">
        <v>127</v>
      </c>
      <c r="B486" s="1">
        <v>45246</v>
      </c>
      <c r="C486" t="s">
        <v>20</v>
      </c>
      <c r="D486">
        <v>1</v>
      </c>
      <c r="E486">
        <v>170</v>
      </c>
      <c r="F486">
        <v>12</v>
      </c>
      <c r="G486">
        <v>2040</v>
      </c>
      <c r="H486">
        <v>238</v>
      </c>
      <c r="I486" t="s">
        <v>21</v>
      </c>
      <c r="J486" t="s">
        <v>38</v>
      </c>
    </row>
    <row r="487" spans="1:10" x14ac:dyDescent="0.25">
      <c r="A487" t="s">
        <v>127</v>
      </c>
      <c r="B487" s="1">
        <v>45246</v>
      </c>
      <c r="C487" t="s">
        <v>20</v>
      </c>
      <c r="D487">
        <v>2</v>
      </c>
      <c r="E487">
        <v>220</v>
      </c>
      <c r="F487">
        <v>10</v>
      </c>
      <c r="G487">
        <v>2200</v>
      </c>
      <c r="H487">
        <v>293.33</v>
      </c>
      <c r="I487" t="s">
        <v>21</v>
      </c>
      <c r="J487" t="s">
        <v>38</v>
      </c>
    </row>
    <row r="488" spans="1:10" x14ac:dyDescent="0.25">
      <c r="A488" t="s">
        <v>127</v>
      </c>
      <c r="B488" s="1">
        <v>45246</v>
      </c>
      <c r="C488" t="s">
        <v>20</v>
      </c>
      <c r="D488">
        <v>3</v>
      </c>
      <c r="E488">
        <v>220</v>
      </c>
      <c r="F488">
        <v>10</v>
      </c>
      <c r="G488">
        <v>2200</v>
      </c>
      <c r="H488">
        <v>293.33</v>
      </c>
      <c r="I488" t="s">
        <v>21</v>
      </c>
      <c r="J488" t="s">
        <v>38</v>
      </c>
    </row>
    <row r="489" spans="1:10" x14ac:dyDescent="0.25">
      <c r="A489" t="s">
        <v>127</v>
      </c>
      <c r="B489" s="1">
        <v>45246</v>
      </c>
      <c r="C489" t="s">
        <v>10</v>
      </c>
      <c r="D489">
        <v>1</v>
      </c>
      <c r="E489">
        <v>70</v>
      </c>
      <c r="F489">
        <v>12</v>
      </c>
      <c r="G489">
        <v>840</v>
      </c>
      <c r="H489">
        <v>98</v>
      </c>
      <c r="I489" t="s">
        <v>21</v>
      </c>
      <c r="J489" t="s">
        <v>38</v>
      </c>
    </row>
    <row r="490" spans="1:10" x14ac:dyDescent="0.25">
      <c r="A490" t="s">
        <v>127</v>
      </c>
      <c r="B490" s="1">
        <v>45246</v>
      </c>
      <c r="C490" t="s">
        <v>10</v>
      </c>
      <c r="D490">
        <v>2</v>
      </c>
      <c r="E490">
        <v>70</v>
      </c>
      <c r="F490">
        <v>3</v>
      </c>
      <c r="G490">
        <v>210</v>
      </c>
      <c r="H490">
        <v>77</v>
      </c>
      <c r="I490" t="s">
        <v>21</v>
      </c>
      <c r="J490" t="s">
        <v>38</v>
      </c>
    </row>
    <row r="491" spans="1:10" x14ac:dyDescent="0.25">
      <c r="A491" t="s">
        <v>127</v>
      </c>
      <c r="B491" s="1">
        <v>45246</v>
      </c>
      <c r="C491" t="s">
        <v>10</v>
      </c>
      <c r="D491">
        <v>3</v>
      </c>
      <c r="E491">
        <v>70</v>
      </c>
      <c r="F491">
        <v>9</v>
      </c>
      <c r="G491">
        <v>630</v>
      </c>
      <c r="H491">
        <v>91</v>
      </c>
      <c r="I491" t="s">
        <v>21</v>
      </c>
      <c r="J491" t="s">
        <v>38</v>
      </c>
    </row>
    <row r="492" spans="1:10" x14ac:dyDescent="0.25">
      <c r="A492" t="s">
        <v>127</v>
      </c>
      <c r="B492" s="1">
        <v>45246</v>
      </c>
      <c r="C492" t="s">
        <v>10</v>
      </c>
      <c r="D492">
        <v>4</v>
      </c>
      <c r="E492">
        <v>70</v>
      </c>
      <c r="F492">
        <v>3</v>
      </c>
      <c r="G492">
        <v>210</v>
      </c>
      <c r="H492">
        <v>77</v>
      </c>
      <c r="I492" t="s">
        <v>21</v>
      </c>
      <c r="J492" t="s">
        <v>38</v>
      </c>
    </row>
    <row r="493" spans="1:10" x14ac:dyDescent="0.25">
      <c r="A493" t="s">
        <v>127</v>
      </c>
      <c r="B493" s="1">
        <v>45246</v>
      </c>
      <c r="C493" t="s">
        <v>10</v>
      </c>
      <c r="D493">
        <v>5</v>
      </c>
      <c r="E493">
        <v>65</v>
      </c>
      <c r="F493">
        <v>15</v>
      </c>
      <c r="G493">
        <v>975</v>
      </c>
      <c r="H493">
        <v>97.5</v>
      </c>
      <c r="I493" t="s">
        <v>21</v>
      </c>
      <c r="J493" t="s">
        <v>38</v>
      </c>
    </row>
    <row r="494" spans="1:10" x14ac:dyDescent="0.25">
      <c r="A494" t="s">
        <v>127</v>
      </c>
      <c r="B494" s="1">
        <v>45246</v>
      </c>
      <c r="C494" t="s">
        <v>10</v>
      </c>
      <c r="D494">
        <v>6</v>
      </c>
      <c r="E494">
        <v>65</v>
      </c>
      <c r="F494">
        <v>11</v>
      </c>
      <c r="G494">
        <v>715</v>
      </c>
      <c r="H494">
        <v>88.83</v>
      </c>
      <c r="I494" t="s">
        <v>21</v>
      </c>
      <c r="J494" t="s">
        <v>38</v>
      </c>
    </row>
    <row r="495" spans="1:10" x14ac:dyDescent="0.25">
      <c r="A495" t="s">
        <v>127</v>
      </c>
      <c r="B495" s="1">
        <v>45246</v>
      </c>
      <c r="C495" t="s">
        <v>10</v>
      </c>
      <c r="D495">
        <v>7</v>
      </c>
      <c r="E495">
        <v>65</v>
      </c>
      <c r="F495">
        <v>5</v>
      </c>
      <c r="G495">
        <v>325</v>
      </c>
      <c r="H495">
        <v>75.83</v>
      </c>
      <c r="I495" t="s">
        <v>21</v>
      </c>
      <c r="J495" t="s">
        <v>38</v>
      </c>
    </row>
    <row r="496" spans="1:10" x14ac:dyDescent="0.25">
      <c r="A496" t="s">
        <v>127</v>
      </c>
      <c r="B496" s="1">
        <v>45246</v>
      </c>
      <c r="C496" t="s">
        <v>16</v>
      </c>
      <c r="D496">
        <v>1</v>
      </c>
      <c r="E496">
        <v>50</v>
      </c>
      <c r="F496">
        <v>16</v>
      </c>
      <c r="G496">
        <v>800</v>
      </c>
      <c r="H496">
        <v>76.67</v>
      </c>
      <c r="I496" t="s">
        <v>21</v>
      </c>
      <c r="J496" t="s">
        <v>38</v>
      </c>
    </row>
    <row r="497" spans="1:10" x14ac:dyDescent="0.25">
      <c r="A497" t="s">
        <v>127</v>
      </c>
      <c r="B497" s="1">
        <v>45246</v>
      </c>
      <c r="C497" t="s">
        <v>16</v>
      </c>
      <c r="D497">
        <v>2</v>
      </c>
      <c r="E497">
        <v>70</v>
      </c>
      <c r="F497">
        <v>12</v>
      </c>
      <c r="G497">
        <v>840</v>
      </c>
      <c r="H497">
        <v>98</v>
      </c>
      <c r="I497" t="s">
        <v>21</v>
      </c>
      <c r="J497" t="s">
        <v>38</v>
      </c>
    </row>
    <row r="498" spans="1:10" x14ac:dyDescent="0.25">
      <c r="A498" t="s">
        <v>127</v>
      </c>
      <c r="B498" s="1">
        <v>45246</v>
      </c>
      <c r="C498" t="s">
        <v>16</v>
      </c>
      <c r="D498">
        <v>3</v>
      </c>
      <c r="E498">
        <v>70</v>
      </c>
      <c r="F498">
        <v>12</v>
      </c>
      <c r="G498">
        <v>840</v>
      </c>
      <c r="H498">
        <v>98</v>
      </c>
      <c r="I498" t="s">
        <v>21</v>
      </c>
      <c r="J498" t="s">
        <v>38</v>
      </c>
    </row>
    <row r="499" spans="1:10" x14ac:dyDescent="0.25">
      <c r="A499" t="s">
        <v>127</v>
      </c>
      <c r="B499" s="1">
        <v>45246</v>
      </c>
      <c r="C499" t="s">
        <v>19</v>
      </c>
      <c r="D499">
        <v>1</v>
      </c>
      <c r="E499">
        <v>171</v>
      </c>
      <c r="F499">
        <v>10</v>
      </c>
      <c r="G499">
        <v>1710</v>
      </c>
      <c r="H499">
        <v>228</v>
      </c>
      <c r="I499" t="s">
        <v>21</v>
      </c>
      <c r="J499" t="s">
        <v>37</v>
      </c>
    </row>
    <row r="500" spans="1:10" x14ac:dyDescent="0.25">
      <c r="A500" t="s">
        <v>127</v>
      </c>
      <c r="B500" s="1">
        <v>45246</v>
      </c>
      <c r="C500" t="s">
        <v>19</v>
      </c>
      <c r="D500">
        <v>2</v>
      </c>
      <c r="E500">
        <v>171</v>
      </c>
      <c r="F500">
        <v>10</v>
      </c>
      <c r="G500">
        <v>1710</v>
      </c>
      <c r="H500">
        <v>228</v>
      </c>
      <c r="I500" t="s">
        <v>21</v>
      </c>
      <c r="J500" t="s">
        <v>37</v>
      </c>
    </row>
    <row r="501" spans="1:10" x14ac:dyDescent="0.25">
      <c r="A501" t="s">
        <v>127</v>
      </c>
      <c r="B501" s="1">
        <v>45246</v>
      </c>
      <c r="C501" t="s">
        <v>19</v>
      </c>
      <c r="D501">
        <v>3</v>
      </c>
      <c r="E501">
        <v>171</v>
      </c>
      <c r="F501">
        <v>9</v>
      </c>
      <c r="G501">
        <v>1539</v>
      </c>
      <c r="H501">
        <v>222.3</v>
      </c>
      <c r="I501" t="s">
        <v>21</v>
      </c>
      <c r="J501" t="s">
        <v>37</v>
      </c>
    </row>
    <row r="502" spans="1:10" x14ac:dyDescent="0.25">
      <c r="A502" t="s">
        <v>128</v>
      </c>
      <c r="B502" s="1">
        <v>45247</v>
      </c>
      <c r="C502" t="s">
        <v>18</v>
      </c>
      <c r="D502">
        <v>1</v>
      </c>
      <c r="E502">
        <v>45</v>
      </c>
      <c r="F502">
        <v>16</v>
      </c>
      <c r="G502">
        <v>720</v>
      </c>
      <c r="H502">
        <v>69</v>
      </c>
      <c r="I502" t="s">
        <v>23</v>
      </c>
      <c r="J502" t="s">
        <v>38</v>
      </c>
    </row>
    <row r="503" spans="1:10" x14ac:dyDescent="0.25">
      <c r="A503" t="s">
        <v>128</v>
      </c>
      <c r="B503" s="1">
        <v>45247</v>
      </c>
      <c r="C503" t="s">
        <v>18</v>
      </c>
      <c r="D503">
        <v>2</v>
      </c>
      <c r="E503">
        <v>100</v>
      </c>
      <c r="F503">
        <v>12</v>
      </c>
      <c r="G503">
        <v>1200</v>
      </c>
      <c r="H503">
        <v>140</v>
      </c>
      <c r="I503" t="s">
        <v>23</v>
      </c>
      <c r="J503" t="s">
        <v>38</v>
      </c>
    </row>
    <row r="504" spans="1:10" x14ac:dyDescent="0.25">
      <c r="A504" t="s">
        <v>128</v>
      </c>
      <c r="B504" s="1">
        <v>45247</v>
      </c>
      <c r="C504" t="s">
        <v>18</v>
      </c>
      <c r="D504">
        <v>3</v>
      </c>
      <c r="E504">
        <v>130</v>
      </c>
      <c r="F504">
        <v>8</v>
      </c>
      <c r="G504">
        <v>1040</v>
      </c>
      <c r="H504">
        <v>164.67</v>
      </c>
      <c r="I504" t="s">
        <v>23</v>
      </c>
      <c r="J504" t="s">
        <v>38</v>
      </c>
    </row>
    <row r="505" spans="1:10" x14ac:dyDescent="0.25">
      <c r="A505" t="s">
        <v>128</v>
      </c>
      <c r="B505" s="1">
        <v>45247</v>
      </c>
      <c r="C505" t="s">
        <v>18</v>
      </c>
      <c r="D505">
        <v>4</v>
      </c>
      <c r="E505">
        <v>125</v>
      </c>
      <c r="F505">
        <v>6</v>
      </c>
      <c r="G505">
        <v>750</v>
      </c>
      <c r="H505">
        <v>150</v>
      </c>
      <c r="I505" t="s">
        <v>23</v>
      </c>
      <c r="J505" t="s">
        <v>38</v>
      </c>
    </row>
    <row r="506" spans="1:10" x14ac:dyDescent="0.25">
      <c r="A506" t="s">
        <v>128</v>
      </c>
      <c r="B506" s="1">
        <v>45247</v>
      </c>
      <c r="C506" t="s">
        <v>18</v>
      </c>
      <c r="D506">
        <v>5</v>
      </c>
      <c r="E506">
        <v>100</v>
      </c>
      <c r="F506">
        <v>12</v>
      </c>
      <c r="G506">
        <v>1200</v>
      </c>
      <c r="H506">
        <v>140</v>
      </c>
      <c r="I506" t="s">
        <v>23</v>
      </c>
      <c r="J506" t="s">
        <v>38</v>
      </c>
    </row>
    <row r="507" spans="1:10" x14ac:dyDescent="0.25">
      <c r="A507" t="s">
        <v>128</v>
      </c>
      <c r="B507" s="1">
        <v>45247</v>
      </c>
      <c r="C507" t="s">
        <v>13</v>
      </c>
      <c r="D507">
        <v>1</v>
      </c>
      <c r="E507">
        <v>65</v>
      </c>
      <c r="F507">
        <v>12</v>
      </c>
      <c r="G507">
        <v>780</v>
      </c>
      <c r="H507">
        <v>91</v>
      </c>
      <c r="I507" t="s">
        <v>23</v>
      </c>
      <c r="J507" t="s">
        <v>38</v>
      </c>
    </row>
    <row r="508" spans="1:10" x14ac:dyDescent="0.25">
      <c r="A508" t="s">
        <v>128</v>
      </c>
      <c r="B508" s="1">
        <v>45247</v>
      </c>
      <c r="C508" t="s">
        <v>13</v>
      </c>
      <c r="D508">
        <v>2</v>
      </c>
      <c r="E508">
        <v>65</v>
      </c>
      <c r="F508">
        <v>12</v>
      </c>
      <c r="G508">
        <v>780</v>
      </c>
      <c r="H508">
        <v>91</v>
      </c>
      <c r="I508" t="s">
        <v>23</v>
      </c>
      <c r="J508" t="s">
        <v>38</v>
      </c>
    </row>
    <row r="509" spans="1:10" x14ac:dyDescent="0.25">
      <c r="A509" t="s">
        <v>128</v>
      </c>
      <c r="B509" s="1">
        <v>45247</v>
      </c>
      <c r="C509" t="s">
        <v>13</v>
      </c>
      <c r="D509">
        <v>3</v>
      </c>
      <c r="E509">
        <v>70</v>
      </c>
      <c r="F509">
        <v>7</v>
      </c>
      <c r="G509">
        <v>490</v>
      </c>
      <c r="H509">
        <v>86.33</v>
      </c>
      <c r="I509" t="s">
        <v>23</v>
      </c>
      <c r="J509" t="s">
        <v>38</v>
      </c>
    </row>
    <row r="510" spans="1:10" x14ac:dyDescent="0.25">
      <c r="A510" t="s">
        <v>128</v>
      </c>
      <c r="B510" s="1">
        <v>45247</v>
      </c>
      <c r="C510" t="s">
        <v>14</v>
      </c>
      <c r="D510">
        <v>1</v>
      </c>
      <c r="E510">
        <v>45</v>
      </c>
      <c r="F510">
        <v>10</v>
      </c>
      <c r="G510">
        <v>450</v>
      </c>
      <c r="H510">
        <v>60</v>
      </c>
      <c r="I510" t="s">
        <v>23</v>
      </c>
      <c r="J510" t="s">
        <v>37</v>
      </c>
    </row>
    <row r="511" spans="1:10" x14ac:dyDescent="0.25">
      <c r="A511" t="s">
        <v>128</v>
      </c>
      <c r="B511" s="1">
        <v>45247</v>
      </c>
      <c r="C511" t="s">
        <v>14</v>
      </c>
      <c r="D511">
        <v>2</v>
      </c>
      <c r="E511">
        <v>65</v>
      </c>
      <c r="F511">
        <v>10</v>
      </c>
      <c r="G511">
        <v>650</v>
      </c>
      <c r="H511">
        <v>86.67</v>
      </c>
      <c r="I511" t="s">
        <v>23</v>
      </c>
      <c r="J511" t="s">
        <v>37</v>
      </c>
    </row>
    <row r="512" spans="1:10" x14ac:dyDescent="0.25">
      <c r="A512" t="s">
        <v>128</v>
      </c>
      <c r="B512" s="1">
        <v>45247</v>
      </c>
      <c r="C512" t="s">
        <v>14</v>
      </c>
      <c r="D512">
        <v>3</v>
      </c>
      <c r="E512">
        <v>65</v>
      </c>
      <c r="F512">
        <v>8</v>
      </c>
      <c r="G512">
        <v>520</v>
      </c>
      <c r="H512">
        <v>82.33</v>
      </c>
      <c r="I512" t="s">
        <v>23</v>
      </c>
      <c r="J512" t="s">
        <v>37</v>
      </c>
    </row>
    <row r="513" spans="1:10" x14ac:dyDescent="0.25">
      <c r="A513" t="s">
        <v>128</v>
      </c>
      <c r="B513" s="1">
        <v>45247</v>
      </c>
      <c r="C513" t="s">
        <v>14</v>
      </c>
      <c r="D513">
        <v>4</v>
      </c>
      <c r="E513">
        <v>45</v>
      </c>
      <c r="F513">
        <v>12</v>
      </c>
      <c r="G513">
        <v>540</v>
      </c>
      <c r="H513">
        <v>63</v>
      </c>
      <c r="I513" t="s">
        <v>23</v>
      </c>
      <c r="J513" t="s">
        <v>37</v>
      </c>
    </row>
    <row r="514" spans="1:10" x14ac:dyDescent="0.25">
      <c r="A514" t="s">
        <v>128</v>
      </c>
      <c r="B514" s="1">
        <v>45247</v>
      </c>
      <c r="C514" t="s">
        <v>45</v>
      </c>
      <c r="D514">
        <v>1</v>
      </c>
      <c r="E514">
        <v>10</v>
      </c>
      <c r="F514">
        <v>20</v>
      </c>
      <c r="G514">
        <v>200</v>
      </c>
      <c r="H514">
        <v>16.670000000000002</v>
      </c>
      <c r="I514" t="s">
        <v>23</v>
      </c>
      <c r="J514" t="s">
        <v>38</v>
      </c>
    </row>
    <row r="515" spans="1:10" x14ac:dyDescent="0.25">
      <c r="A515" t="s">
        <v>128</v>
      </c>
      <c r="B515" s="1">
        <v>45247</v>
      </c>
      <c r="C515" t="s">
        <v>45</v>
      </c>
      <c r="D515">
        <v>2</v>
      </c>
      <c r="E515">
        <v>10</v>
      </c>
      <c r="F515">
        <v>20</v>
      </c>
      <c r="G515">
        <v>200</v>
      </c>
      <c r="H515">
        <v>16.670000000000002</v>
      </c>
      <c r="I515" t="s">
        <v>23</v>
      </c>
      <c r="J515" t="s">
        <v>38</v>
      </c>
    </row>
    <row r="516" spans="1:10" x14ac:dyDescent="0.25">
      <c r="A516" t="s">
        <v>128</v>
      </c>
      <c r="B516" s="1">
        <v>45247</v>
      </c>
      <c r="C516" t="s">
        <v>45</v>
      </c>
      <c r="D516">
        <v>3</v>
      </c>
      <c r="E516">
        <v>10</v>
      </c>
      <c r="F516">
        <v>20</v>
      </c>
      <c r="G516">
        <v>200</v>
      </c>
      <c r="H516">
        <v>16.670000000000002</v>
      </c>
      <c r="I516" t="s">
        <v>23</v>
      </c>
      <c r="J516" t="s">
        <v>38</v>
      </c>
    </row>
    <row r="517" spans="1:10" x14ac:dyDescent="0.25">
      <c r="A517" t="s">
        <v>128</v>
      </c>
      <c r="B517" s="1">
        <v>45247</v>
      </c>
      <c r="C517" t="s">
        <v>49</v>
      </c>
      <c r="D517">
        <v>1</v>
      </c>
      <c r="E517">
        <v>10</v>
      </c>
      <c r="F517">
        <v>20</v>
      </c>
      <c r="G517">
        <v>200</v>
      </c>
      <c r="H517">
        <v>16.670000000000002</v>
      </c>
      <c r="I517" t="s">
        <v>23</v>
      </c>
      <c r="J517" t="s">
        <v>38</v>
      </c>
    </row>
    <row r="518" spans="1:10" x14ac:dyDescent="0.25">
      <c r="A518" t="s">
        <v>128</v>
      </c>
      <c r="B518" s="1">
        <v>45247</v>
      </c>
      <c r="C518" t="s">
        <v>49</v>
      </c>
      <c r="D518">
        <v>2</v>
      </c>
      <c r="E518">
        <v>10</v>
      </c>
      <c r="F518">
        <v>20</v>
      </c>
      <c r="G518">
        <v>200</v>
      </c>
      <c r="H518">
        <v>16.670000000000002</v>
      </c>
      <c r="I518" t="s">
        <v>23</v>
      </c>
      <c r="J518" t="s">
        <v>38</v>
      </c>
    </row>
    <row r="519" spans="1:10" x14ac:dyDescent="0.25">
      <c r="A519" t="s">
        <v>128</v>
      </c>
      <c r="B519" s="1">
        <v>45247</v>
      </c>
      <c r="C519" t="s">
        <v>49</v>
      </c>
      <c r="D519">
        <v>3</v>
      </c>
      <c r="E519">
        <v>10</v>
      </c>
      <c r="F519">
        <v>20</v>
      </c>
      <c r="G519">
        <v>200</v>
      </c>
      <c r="H519">
        <v>16.670000000000002</v>
      </c>
      <c r="I519" t="s">
        <v>23</v>
      </c>
      <c r="J519" t="s">
        <v>38</v>
      </c>
    </row>
    <row r="520" spans="1:10" x14ac:dyDescent="0.25">
      <c r="A520" t="s">
        <v>129</v>
      </c>
      <c r="B520" s="1">
        <v>45249</v>
      </c>
      <c r="C520" t="s">
        <v>15</v>
      </c>
      <c r="D520">
        <v>1</v>
      </c>
      <c r="E520">
        <v>135</v>
      </c>
      <c r="F520">
        <v>10</v>
      </c>
      <c r="G520">
        <v>1350</v>
      </c>
      <c r="H520">
        <v>180</v>
      </c>
      <c r="I520" t="s">
        <v>22</v>
      </c>
      <c r="J520" t="s">
        <v>38</v>
      </c>
    </row>
    <row r="521" spans="1:10" x14ac:dyDescent="0.25">
      <c r="A521" t="s">
        <v>129</v>
      </c>
      <c r="B521" s="1">
        <v>45249</v>
      </c>
      <c r="C521" t="s">
        <v>15</v>
      </c>
      <c r="D521">
        <v>2</v>
      </c>
      <c r="E521">
        <v>170</v>
      </c>
      <c r="F521">
        <v>8</v>
      </c>
      <c r="G521">
        <v>1360</v>
      </c>
      <c r="H521">
        <v>215.33</v>
      </c>
      <c r="I521" t="s">
        <v>22</v>
      </c>
      <c r="J521" t="s">
        <v>38</v>
      </c>
    </row>
    <row r="522" spans="1:10" x14ac:dyDescent="0.25">
      <c r="A522" t="s">
        <v>129</v>
      </c>
      <c r="B522" s="1">
        <v>45249</v>
      </c>
      <c r="C522" t="s">
        <v>15</v>
      </c>
      <c r="D522">
        <v>3</v>
      </c>
      <c r="E522">
        <v>160</v>
      </c>
      <c r="F522">
        <v>4</v>
      </c>
      <c r="G522">
        <v>640</v>
      </c>
      <c r="H522">
        <v>181.33</v>
      </c>
      <c r="I522" t="s">
        <v>22</v>
      </c>
      <c r="J522" t="s">
        <v>38</v>
      </c>
    </row>
    <row r="523" spans="1:10" x14ac:dyDescent="0.25">
      <c r="A523" t="s">
        <v>129</v>
      </c>
      <c r="B523" s="1">
        <v>45249</v>
      </c>
      <c r="C523" t="s">
        <v>17</v>
      </c>
      <c r="D523">
        <v>1</v>
      </c>
      <c r="E523">
        <v>45</v>
      </c>
      <c r="F523">
        <v>12</v>
      </c>
      <c r="G523">
        <v>540</v>
      </c>
      <c r="H523">
        <v>63</v>
      </c>
      <c r="I523" t="s">
        <v>22</v>
      </c>
      <c r="J523" t="s">
        <v>37</v>
      </c>
    </row>
    <row r="524" spans="1:10" x14ac:dyDescent="0.25">
      <c r="A524" t="s">
        <v>129</v>
      </c>
      <c r="B524" s="1">
        <v>45249</v>
      </c>
      <c r="C524" t="s">
        <v>17</v>
      </c>
      <c r="D524">
        <v>2</v>
      </c>
      <c r="E524">
        <v>80</v>
      </c>
      <c r="F524">
        <v>12</v>
      </c>
      <c r="G524">
        <v>960</v>
      </c>
      <c r="H524">
        <v>112</v>
      </c>
      <c r="I524" t="s">
        <v>22</v>
      </c>
      <c r="J524" t="s">
        <v>37</v>
      </c>
    </row>
    <row r="525" spans="1:10" x14ac:dyDescent="0.25">
      <c r="A525" t="s">
        <v>129</v>
      </c>
      <c r="B525" s="1">
        <v>45249</v>
      </c>
      <c r="C525" t="s">
        <v>17</v>
      </c>
      <c r="D525">
        <v>3</v>
      </c>
      <c r="E525">
        <v>110</v>
      </c>
      <c r="F525">
        <v>10</v>
      </c>
      <c r="G525">
        <v>1100</v>
      </c>
      <c r="H525">
        <v>146.66999999999999</v>
      </c>
      <c r="I525" t="s">
        <v>22</v>
      </c>
      <c r="J525" t="s">
        <v>37</v>
      </c>
    </row>
    <row r="526" spans="1:10" x14ac:dyDescent="0.25">
      <c r="A526" t="s">
        <v>129</v>
      </c>
      <c r="B526" s="1">
        <v>45249</v>
      </c>
      <c r="C526" t="s">
        <v>17</v>
      </c>
      <c r="D526">
        <v>4</v>
      </c>
      <c r="E526">
        <v>120</v>
      </c>
      <c r="F526">
        <v>12</v>
      </c>
      <c r="G526">
        <v>1440</v>
      </c>
      <c r="H526">
        <v>168</v>
      </c>
      <c r="I526" t="s">
        <v>22</v>
      </c>
      <c r="J526" t="s">
        <v>37</v>
      </c>
    </row>
    <row r="527" spans="1:10" x14ac:dyDescent="0.25">
      <c r="A527" t="s">
        <v>129</v>
      </c>
      <c r="B527" s="1">
        <v>45249</v>
      </c>
      <c r="C527" t="s">
        <v>17</v>
      </c>
      <c r="D527">
        <v>5</v>
      </c>
      <c r="E527">
        <v>120</v>
      </c>
      <c r="F527">
        <v>10</v>
      </c>
      <c r="G527">
        <v>1200</v>
      </c>
      <c r="H527">
        <v>160</v>
      </c>
      <c r="I527" t="s">
        <v>22</v>
      </c>
      <c r="J527" t="s">
        <v>37</v>
      </c>
    </row>
    <row r="528" spans="1:10" x14ac:dyDescent="0.25">
      <c r="A528" t="s">
        <v>129</v>
      </c>
      <c r="B528" s="1">
        <v>45249</v>
      </c>
      <c r="C528" t="s">
        <v>11</v>
      </c>
      <c r="D528">
        <v>1</v>
      </c>
      <c r="E528">
        <v>170</v>
      </c>
      <c r="F528">
        <v>12</v>
      </c>
      <c r="G528">
        <v>2040</v>
      </c>
      <c r="H528">
        <v>238</v>
      </c>
      <c r="I528" t="s">
        <v>22</v>
      </c>
      <c r="J528" t="s">
        <v>37</v>
      </c>
    </row>
    <row r="529" spans="1:10" x14ac:dyDescent="0.25">
      <c r="A529" t="s">
        <v>129</v>
      </c>
      <c r="B529" s="1">
        <v>45249</v>
      </c>
      <c r="C529" t="s">
        <v>11</v>
      </c>
      <c r="D529">
        <v>2</v>
      </c>
      <c r="E529">
        <v>170</v>
      </c>
      <c r="F529">
        <v>12</v>
      </c>
      <c r="G529">
        <v>2040</v>
      </c>
      <c r="H529">
        <v>238</v>
      </c>
      <c r="I529" t="s">
        <v>22</v>
      </c>
      <c r="J529" t="s">
        <v>37</v>
      </c>
    </row>
    <row r="530" spans="1:10" x14ac:dyDescent="0.25">
      <c r="A530" t="s">
        <v>129</v>
      </c>
      <c r="B530" s="1">
        <v>45249</v>
      </c>
      <c r="C530" t="s">
        <v>11</v>
      </c>
      <c r="D530">
        <v>3</v>
      </c>
      <c r="E530">
        <v>185</v>
      </c>
      <c r="F530">
        <v>12</v>
      </c>
      <c r="G530">
        <v>2220</v>
      </c>
      <c r="H530">
        <v>259</v>
      </c>
      <c r="I530" t="s">
        <v>22</v>
      </c>
      <c r="J530" t="s">
        <v>37</v>
      </c>
    </row>
    <row r="531" spans="1:10" x14ac:dyDescent="0.25">
      <c r="A531" t="s">
        <v>130</v>
      </c>
      <c r="B531" s="1">
        <v>45250</v>
      </c>
      <c r="C531" t="s">
        <v>12</v>
      </c>
      <c r="D531">
        <v>1</v>
      </c>
      <c r="E531">
        <v>45</v>
      </c>
      <c r="F531">
        <v>14</v>
      </c>
      <c r="G531">
        <v>630</v>
      </c>
      <c r="H531">
        <v>66</v>
      </c>
      <c r="I531" t="s">
        <v>23</v>
      </c>
      <c r="J531" t="s">
        <v>37</v>
      </c>
    </row>
    <row r="532" spans="1:10" x14ac:dyDescent="0.25">
      <c r="A532" t="s">
        <v>130</v>
      </c>
      <c r="B532" s="1">
        <v>45250</v>
      </c>
      <c r="C532" t="s">
        <v>12</v>
      </c>
      <c r="D532">
        <v>2</v>
      </c>
      <c r="E532">
        <v>95</v>
      </c>
      <c r="F532">
        <v>12</v>
      </c>
      <c r="G532">
        <v>1140</v>
      </c>
      <c r="H532">
        <v>133</v>
      </c>
      <c r="I532" t="s">
        <v>23</v>
      </c>
      <c r="J532" t="s">
        <v>37</v>
      </c>
    </row>
    <row r="533" spans="1:10" x14ac:dyDescent="0.25">
      <c r="A533" t="s">
        <v>130</v>
      </c>
      <c r="B533" s="1">
        <v>45250</v>
      </c>
      <c r="C533" t="s">
        <v>12</v>
      </c>
      <c r="D533">
        <v>3</v>
      </c>
      <c r="E533">
        <v>130</v>
      </c>
      <c r="F533">
        <v>10</v>
      </c>
      <c r="G533">
        <v>1300</v>
      </c>
      <c r="H533">
        <v>173.33</v>
      </c>
      <c r="I533" t="s">
        <v>23</v>
      </c>
      <c r="J533" t="s">
        <v>37</v>
      </c>
    </row>
    <row r="534" spans="1:10" x14ac:dyDescent="0.25">
      <c r="A534" t="s">
        <v>130</v>
      </c>
      <c r="B534" s="1">
        <v>45250</v>
      </c>
      <c r="C534" t="s">
        <v>12</v>
      </c>
      <c r="D534">
        <v>4</v>
      </c>
      <c r="E534">
        <v>135</v>
      </c>
      <c r="F534">
        <v>6</v>
      </c>
      <c r="G534">
        <v>810</v>
      </c>
      <c r="H534">
        <v>162</v>
      </c>
      <c r="I534" t="s">
        <v>23</v>
      </c>
      <c r="J534" t="s">
        <v>37</v>
      </c>
    </row>
    <row r="535" spans="1:10" x14ac:dyDescent="0.25">
      <c r="A535" t="s">
        <v>130</v>
      </c>
      <c r="B535" s="1">
        <v>45250</v>
      </c>
      <c r="C535" t="s">
        <v>13</v>
      </c>
      <c r="D535">
        <v>1</v>
      </c>
      <c r="E535">
        <v>65</v>
      </c>
      <c r="F535">
        <v>11</v>
      </c>
      <c r="G535">
        <v>715</v>
      </c>
      <c r="H535">
        <v>88.83</v>
      </c>
      <c r="I535" t="s">
        <v>23</v>
      </c>
      <c r="J535" t="s">
        <v>38</v>
      </c>
    </row>
    <row r="536" spans="1:10" x14ac:dyDescent="0.25">
      <c r="A536" t="s">
        <v>130</v>
      </c>
      <c r="B536" s="1">
        <v>45250</v>
      </c>
      <c r="C536" t="s">
        <v>13</v>
      </c>
      <c r="D536">
        <v>2</v>
      </c>
      <c r="E536">
        <v>70</v>
      </c>
      <c r="F536">
        <v>9</v>
      </c>
      <c r="G536">
        <v>630</v>
      </c>
      <c r="H536">
        <v>91</v>
      </c>
      <c r="I536" t="s">
        <v>23</v>
      </c>
      <c r="J536" t="s">
        <v>38</v>
      </c>
    </row>
    <row r="537" spans="1:10" x14ac:dyDescent="0.25">
      <c r="A537" t="s">
        <v>130</v>
      </c>
      <c r="B537" s="1">
        <v>45250</v>
      </c>
      <c r="C537" t="s">
        <v>13</v>
      </c>
      <c r="D537">
        <v>3</v>
      </c>
      <c r="E537">
        <v>65</v>
      </c>
      <c r="F537">
        <v>10</v>
      </c>
      <c r="G537">
        <v>650</v>
      </c>
      <c r="H537">
        <v>86.67</v>
      </c>
      <c r="I537" t="s">
        <v>23</v>
      </c>
      <c r="J537" t="s">
        <v>38</v>
      </c>
    </row>
    <row r="538" spans="1:10" x14ac:dyDescent="0.25">
      <c r="A538" t="s">
        <v>130</v>
      </c>
      <c r="B538" s="1">
        <v>45250</v>
      </c>
      <c r="C538" t="s">
        <v>14</v>
      </c>
      <c r="D538">
        <v>1</v>
      </c>
      <c r="E538">
        <v>45</v>
      </c>
      <c r="F538">
        <v>11</v>
      </c>
      <c r="G538">
        <v>495</v>
      </c>
      <c r="H538">
        <v>61.5</v>
      </c>
      <c r="I538" t="s">
        <v>23</v>
      </c>
      <c r="J538" t="s">
        <v>37</v>
      </c>
    </row>
    <row r="539" spans="1:10" x14ac:dyDescent="0.25">
      <c r="A539" t="s">
        <v>130</v>
      </c>
      <c r="B539" s="1">
        <v>45250</v>
      </c>
      <c r="C539" t="s">
        <v>14</v>
      </c>
      <c r="D539">
        <v>2</v>
      </c>
      <c r="E539">
        <v>75</v>
      </c>
      <c r="F539">
        <v>10</v>
      </c>
      <c r="G539">
        <v>750</v>
      </c>
      <c r="H539">
        <v>100</v>
      </c>
      <c r="I539" t="s">
        <v>23</v>
      </c>
      <c r="J539" t="s">
        <v>37</v>
      </c>
    </row>
    <row r="540" spans="1:10" x14ac:dyDescent="0.25">
      <c r="A540" t="s">
        <v>130</v>
      </c>
      <c r="B540" s="1">
        <v>45250</v>
      </c>
      <c r="C540" t="s">
        <v>14</v>
      </c>
      <c r="D540">
        <v>3</v>
      </c>
      <c r="E540">
        <v>80</v>
      </c>
      <c r="F540">
        <v>7</v>
      </c>
      <c r="G540">
        <v>560</v>
      </c>
      <c r="H540">
        <v>98.67</v>
      </c>
      <c r="I540" t="s">
        <v>23</v>
      </c>
      <c r="J540" t="s">
        <v>37</v>
      </c>
    </row>
    <row r="541" spans="1:10" x14ac:dyDescent="0.25">
      <c r="A541" t="s">
        <v>130</v>
      </c>
      <c r="B541" s="1">
        <v>45250</v>
      </c>
      <c r="C541" t="s">
        <v>14</v>
      </c>
      <c r="D541">
        <v>4</v>
      </c>
      <c r="E541">
        <v>65</v>
      </c>
      <c r="F541">
        <v>10</v>
      </c>
      <c r="G541">
        <v>650</v>
      </c>
      <c r="H541">
        <v>86.67</v>
      </c>
      <c r="I541" t="s">
        <v>23</v>
      </c>
      <c r="J541" t="s">
        <v>37</v>
      </c>
    </row>
    <row r="542" spans="1:10" x14ac:dyDescent="0.25">
      <c r="A542" t="s">
        <v>130</v>
      </c>
      <c r="B542" s="1">
        <v>45250</v>
      </c>
      <c r="C542" t="s">
        <v>45</v>
      </c>
      <c r="D542">
        <v>1</v>
      </c>
      <c r="E542">
        <v>10</v>
      </c>
      <c r="F542">
        <v>20</v>
      </c>
      <c r="G542">
        <v>200</v>
      </c>
      <c r="H542">
        <v>16.670000000000002</v>
      </c>
      <c r="I542" t="s">
        <v>23</v>
      </c>
      <c r="J542" t="s">
        <v>38</v>
      </c>
    </row>
    <row r="543" spans="1:10" x14ac:dyDescent="0.25">
      <c r="A543" t="s">
        <v>130</v>
      </c>
      <c r="B543" s="1">
        <v>45250</v>
      </c>
      <c r="C543" t="s">
        <v>45</v>
      </c>
      <c r="D543">
        <v>2</v>
      </c>
      <c r="E543">
        <v>10</v>
      </c>
      <c r="F543">
        <v>20</v>
      </c>
      <c r="G543">
        <v>200</v>
      </c>
      <c r="H543">
        <v>16.670000000000002</v>
      </c>
      <c r="I543" t="s">
        <v>23</v>
      </c>
      <c r="J543" t="s">
        <v>38</v>
      </c>
    </row>
    <row r="544" spans="1:10" x14ac:dyDescent="0.25">
      <c r="A544" t="s">
        <v>130</v>
      </c>
      <c r="B544" s="1">
        <v>45250</v>
      </c>
      <c r="C544" t="s">
        <v>45</v>
      </c>
      <c r="D544">
        <v>3</v>
      </c>
      <c r="E544">
        <v>10</v>
      </c>
      <c r="F544">
        <v>20</v>
      </c>
      <c r="G544">
        <v>200</v>
      </c>
      <c r="H544">
        <v>16.670000000000002</v>
      </c>
      <c r="I544" t="s">
        <v>23</v>
      </c>
      <c r="J544" t="s">
        <v>38</v>
      </c>
    </row>
    <row r="545" spans="1:10" x14ac:dyDescent="0.25">
      <c r="A545" t="s">
        <v>130</v>
      </c>
      <c r="B545" s="1">
        <v>45250</v>
      </c>
      <c r="C545" t="s">
        <v>49</v>
      </c>
      <c r="D545">
        <v>1</v>
      </c>
      <c r="E545">
        <v>10</v>
      </c>
      <c r="F545">
        <v>20</v>
      </c>
      <c r="G545">
        <v>200</v>
      </c>
      <c r="H545">
        <v>16.670000000000002</v>
      </c>
      <c r="I545" t="s">
        <v>23</v>
      </c>
      <c r="J545" t="s">
        <v>38</v>
      </c>
    </row>
    <row r="546" spans="1:10" x14ac:dyDescent="0.25">
      <c r="A546" t="s">
        <v>130</v>
      </c>
      <c r="B546" s="1">
        <v>45250</v>
      </c>
      <c r="C546" t="s">
        <v>49</v>
      </c>
      <c r="D546">
        <v>2</v>
      </c>
      <c r="E546">
        <v>10</v>
      </c>
      <c r="F546">
        <v>21</v>
      </c>
      <c r="G546">
        <v>210</v>
      </c>
      <c r="H546">
        <v>17</v>
      </c>
      <c r="I546" t="s">
        <v>23</v>
      </c>
      <c r="J546" t="s">
        <v>38</v>
      </c>
    </row>
    <row r="547" spans="1:10" x14ac:dyDescent="0.25">
      <c r="A547" t="s">
        <v>130</v>
      </c>
      <c r="B547" s="1">
        <v>45250</v>
      </c>
      <c r="C547" t="s">
        <v>49</v>
      </c>
      <c r="D547">
        <v>3</v>
      </c>
      <c r="E547">
        <v>10</v>
      </c>
      <c r="F547">
        <v>20</v>
      </c>
      <c r="G547">
        <v>200</v>
      </c>
      <c r="H547">
        <v>16.670000000000002</v>
      </c>
      <c r="I547" t="s">
        <v>23</v>
      </c>
      <c r="J547" t="s">
        <v>38</v>
      </c>
    </row>
    <row r="548" spans="1:10" x14ac:dyDescent="0.25">
      <c r="A548" t="s">
        <v>131</v>
      </c>
      <c r="B548" s="1">
        <v>45253</v>
      </c>
      <c r="C548" t="s">
        <v>15</v>
      </c>
      <c r="D548">
        <v>1</v>
      </c>
      <c r="E548">
        <v>140</v>
      </c>
      <c r="F548">
        <v>12</v>
      </c>
      <c r="G548">
        <v>1680</v>
      </c>
      <c r="H548">
        <v>196</v>
      </c>
      <c r="I548" t="s">
        <v>22</v>
      </c>
      <c r="J548" t="s">
        <v>38</v>
      </c>
    </row>
    <row r="549" spans="1:10" x14ac:dyDescent="0.25">
      <c r="A549" t="s">
        <v>131</v>
      </c>
      <c r="B549" s="1">
        <v>45253</v>
      </c>
      <c r="C549" t="s">
        <v>15</v>
      </c>
      <c r="D549">
        <v>2</v>
      </c>
      <c r="E549">
        <v>165</v>
      </c>
      <c r="F549">
        <v>10</v>
      </c>
      <c r="G549">
        <v>1650</v>
      </c>
      <c r="H549">
        <v>220</v>
      </c>
      <c r="I549" t="s">
        <v>22</v>
      </c>
      <c r="J549" t="s">
        <v>38</v>
      </c>
    </row>
    <row r="550" spans="1:10" x14ac:dyDescent="0.25">
      <c r="A550" t="s">
        <v>131</v>
      </c>
      <c r="B550" s="1">
        <v>45253</v>
      </c>
      <c r="C550" t="s">
        <v>15</v>
      </c>
      <c r="D550">
        <v>3</v>
      </c>
      <c r="E550">
        <v>165</v>
      </c>
      <c r="F550">
        <v>6</v>
      </c>
      <c r="G550">
        <v>990</v>
      </c>
      <c r="H550">
        <v>198</v>
      </c>
      <c r="I550" t="s">
        <v>22</v>
      </c>
      <c r="J550" t="s">
        <v>38</v>
      </c>
    </row>
    <row r="551" spans="1:10" x14ac:dyDescent="0.25">
      <c r="A551" t="s">
        <v>131</v>
      </c>
      <c r="B551" s="1">
        <v>45253</v>
      </c>
      <c r="C551" t="s">
        <v>17</v>
      </c>
      <c r="D551">
        <v>1</v>
      </c>
      <c r="E551">
        <v>45</v>
      </c>
      <c r="F551">
        <v>15</v>
      </c>
      <c r="G551">
        <v>675</v>
      </c>
      <c r="H551">
        <v>67.5</v>
      </c>
      <c r="I551" t="s">
        <v>22</v>
      </c>
      <c r="J551" t="s">
        <v>37</v>
      </c>
    </row>
    <row r="552" spans="1:10" x14ac:dyDescent="0.25">
      <c r="A552" t="s">
        <v>131</v>
      </c>
      <c r="B552" s="1">
        <v>45253</v>
      </c>
      <c r="C552" t="s">
        <v>17</v>
      </c>
      <c r="D552">
        <v>2</v>
      </c>
      <c r="E552">
        <v>80</v>
      </c>
      <c r="F552">
        <v>12</v>
      </c>
      <c r="G552">
        <v>960</v>
      </c>
      <c r="H552">
        <v>112</v>
      </c>
      <c r="I552" t="s">
        <v>22</v>
      </c>
      <c r="J552" t="s">
        <v>37</v>
      </c>
    </row>
    <row r="553" spans="1:10" x14ac:dyDescent="0.25">
      <c r="A553" t="s">
        <v>131</v>
      </c>
      <c r="B553" s="1">
        <v>45253</v>
      </c>
      <c r="C553" t="s">
        <v>17</v>
      </c>
      <c r="D553">
        <v>3</v>
      </c>
      <c r="E553">
        <v>125</v>
      </c>
      <c r="F553">
        <v>10</v>
      </c>
      <c r="G553">
        <v>1250</v>
      </c>
      <c r="H553">
        <v>166.67</v>
      </c>
      <c r="I553" t="s">
        <v>22</v>
      </c>
      <c r="J553" t="s">
        <v>37</v>
      </c>
    </row>
    <row r="554" spans="1:10" x14ac:dyDescent="0.25">
      <c r="A554" t="s">
        <v>131</v>
      </c>
      <c r="B554" s="1">
        <v>45253</v>
      </c>
      <c r="C554" t="s">
        <v>17</v>
      </c>
      <c r="D554">
        <v>4</v>
      </c>
      <c r="E554">
        <v>115</v>
      </c>
      <c r="F554">
        <v>12</v>
      </c>
      <c r="G554">
        <v>1380</v>
      </c>
      <c r="H554">
        <v>161</v>
      </c>
      <c r="I554" t="s">
        <v>22</v>
      </c>
      <c r="J554" t="s">
        <v>37</v>
      </c>
    </row>
    <row r="555" spans="1:10" x14ac:dyDescent="0.25">
      <c r="A555" t="s">
        <v>131</v>
      </c>
      <c r="B555" s="1">
        <v>45253</v>
      </c>
      <c r="C555" t="s">
        <v>17</v>
      </c>
      <c r="D555">
        <v>5</v>
      </c>
      <c r="E555">
        <v>115</v>
      </c>
      <c r="F555">
        <v>12</v>
      </c>
      <c r="G555">
        <v>1380</v>
      </c>
      <c r="H555">
        <v>161</v>
      </c>
      <c r="I555" t="s">
        <v>22</v>
      </c>
      <c r="J555" t="s">
        <v>37</v>
      </c>
    </row>
    <row r="556" spans="1:10" x14ac:dyDescent="0.25">
      <c r="A556" t="s">
        <v>131</v>
      </c>
      <c r="B556" s="1">
        <v>45253</v>
      </c>
      <c r="C556" t="s">
        <v>11</v>
      </c>
      <c r="D556">
        <v>1</v>
      </c>
      <c r="E556">
        <v>185</v>
      </c>
      <c r="F556">
        <v>10</v>
      </c>
      <c r="G556">
        <v>1850</v>
      </c>
      <c r="H556">
        <v>246.67</v>
      </c>
      <c r="I556" t="s">
        <v>22</v>
      </c>
      <c r="J556" t="s">
        <v>37</v>
      </c>
    </row>
    <row r="557" spans="1:10" x14ac:dyDescent="0.25">
      <c r="A557" t="s">
        <v>131</v>
      </c>
      <c r="B557" s="1">
        <v>45253</v>
      </c>
      <c r="C557" t="s">
        <v>11</v>
      </c>
      <c r="D557">
        <v>2</v>
      </c>
      <c r="E557">
        <v>185</v>
      </c>
      <c r="F557">
        <v>12</v>
      </c>
      <c r="G557">
        <v>2220</v>
      </c>
      <c r="H557">
        <v>259</v>
      </c>
      <c r="I557" t="s">
        <v>22</v>
      </c>
      <c r="J557" t="s">
        <v>37</v>
      </c>
    </row>
    <row r="558" spans="1:10" x14ac:dyDescent="0.25">
      <c r="A558" t="s">
        <v>131</v>
      </c>
      <c r="B558" s="1">
        <v>45253</v>
      </c>
      <c r="C558" t="s">
        <v>11</v>
      </c>
      <c r="D558">
        <v>3</v>
      </c>
      <c r="E558">
        <v>185</v>
      </c>
      <c r="F558">
        <v>12</v>
      </c>
      <c r="G558">
        <v>2220</v>
      </c>
      <c r="H558">
        <v>259</v>
      </c>
      <c r="I558" t="s">
        <v>22</v>
      </c>
      <c r="J558" t="s">
        <v>37</v>
      </c>
    </row>
    <row r="559" spans="1:10" x14ac:dyDescent="0.25">
      <c r="A559" t="s">
        <v>132</v>
      </c>
      <c r="B559" s="1">
        <v>45254</v>
      </c>
      <c r="C559" t="s">
        <v>12</v>
      </c>
      <c r="D559">
        <v>1</v>
      </c>
      <c r="E559">
        <v>45</v>
      </c>
      <c r="F559">
        <v>16</v>
      </c>
      <c r="G559">
        <v>720</v>
      </c>
      <c r="H559">
        <v>69</v>
      </c>
      <c r="I559" t="s">
        <v>23</v>
      </c>
      <c r="J559" t="s">
        <v>37</v>
      </c>
    </row>
    <row r="560" spans="1:10" x14ac:dyDescent="0.25">
      <c r="A560" t="s">
        <v>132</v>
      </c>
      <c r="B560" s="1">
        <v>45254</v>
      </c>
      <c r="C560" t="s">
        <v>12</v>
      </c>
      <c r="D560">
        <v>2</v>
      </c>
      <c r="E560">
        <v>95</v>
      </c>
      <c r="F560">
        <v>12</v>
      </c>
      <c r="G560">
        <v>1140</v>
      </c>
      <c r="H560">
        <v>133</v>
      </c>
      <c r="I560" t="s">
        <v>23</v>
      </c>
      <c r="J560" t="s">
        <v>37</v>
      </c>
    </row>
    <row r="561" spans="1:10" x14ac:dyDescent="0.25">
      <c r="A561" t="s">
        <v>132</v>
      </c>
      <c r="B561" s="1">
        <v>45254</v>
      </c>
      <c r="C561" t="s">
        <v>12</v>
      </c>
      <c r="D561">
        <v>3</v>
      </c>
      <c r="E561">
        <v>130</v>
      </c>
      <c r="F561">
        <v>12</v>
      </c>
      <c r="G561">
        <v>1560</v>
      </c>
      <c r="H561">
        <v>182</v>
      </c>
      <c r="I561" t="s">
        <v>23</v>
      </c>
      <c r="J561" t="s">
        <v>37</v>
      </c>
    </row>
    <row r="562" spans="1:10" x14ac:dyDescent="0.25">
      <c r="A562" t="s">
        <v>132</v>
      </c>
      <c r="B562" s="1">
        <v>45254</v>
      </c>
      <c r="C562" t="s">
        <v>12</v>
      </c>
      <c r="D562">
        <v>4</v>
      </c>
      <c r="E562">
        <v>140</v>
      </c>
      <c r="F562">
        <v>7</v>
      </c>
      <c r="G562">
        <v>980</v>
      </c>
      <c r="H562">
        <v>172.67</v>
      </c>
      <c r="I562" t="s">
        <v>23</v>
      </c>
      <c r="J562" t="s">
        <v>37</v>
      </c>
    </row>
    <row r="563" spans="1:10" x14ac:dyDescent="0.25">
      <c r="A563" t="s">
        <v>132</v>
      </c>
      <c r="B563" s="1">
        <v>45254</v>
      </c>
      <c r="C563" t="s">
        <v>12</v>
      </c>
      <c r="D563">
        <v>5</v>
      </c>
      <c r="E563">
        <v>95</v>
      </c>
      <c r="F563">
        <v>12</v>
      </c>
      <c r="G563">
        <v>1140</v>
      </c>
      <c r="H563">
        <v>133</v>
      </c>
      <c r="I563" t="s">
        <v>23</v>
      </c>
      <c r="J563" t="s">
        <v>37</v>
      </c>
    </row>
    <row r="564" spans="1:10" x14ac:dyDescent="0.25">
      <c r="A564" t="s">
        <v>132</v>
      </c>
      <c r="B564" s="1">
        <v>45254</v>
      </c>
      <c r="C564" t="s">
        <v>13</v>
      </c>
      <c r="D564">
        <v>1</v>
      </c>
      <c r="E564">
        <v>65</v>
      </c>
      <c r="F564">
        <v>13</v>
      </c>
      <c r="G564">
        <v>845</v>
      </c>
      <c r="H564">
        <v>93.17</v>
      </c>
      <c r="I564" t="s">
        <v>23</v>
      </c>
      <c r="J564" t="s">
        <v>38</v>
      </c>
    </row>
    <row r="565" spans="1:10" x14ac:dyDescent="0.25">
      <c r="A565" t="s">
        <v>132</v>
      </c>
      <c r="B565" s="1">
        <v>45254</v>
      </c>
      <c r="C565" t="s">
        <v>13</v>
      </c>
      <c r="D565">
        <v>2</v>
      </c>
      <c r="E565">
        <v>70</v>
      </c>
      <c r="F565">
        <v>7</v>
      </c>
      <c r="G565">
        <v>490</v>
      </c>
      <c r="H565">
        <v>86.33</v>
      </c>
      <c r="I565" t="s">
        <v>23</v>
      </c>
      <c r="J565" t="s">
        <v>38</v>
      </c>
    </row>
    <row r="566" spans="1:10" x14ac:dyDescent="0.25">
      <c r="A566" t="s">
        <v>132</v>
      </c>
      <c r="B566" s="1">
        <v>45254</v>
      </c>
      <c r="C566" t="s">
        <v>14</v>
      </c>
      <c r="D566">
        <v>1</v>
      </c>
      <c r="E566">
        <v>45</v>
      </c>
      <c r="F566">
        <v>12</v>
      </c>
      <c r="G566">
        <v>540</v>
      </c>
      <c r="H566">
        <v>63</v>
      </c>
      <c r="I566" t="s">
        <v>23</v>
      </c>
      <c r="J566" t="s">
        <v>37</v>
      </c>
    </row>
    <row r="567" spans="1:10" x14ac:dyDescent="0.25">
      <c r="A567" t="s">
        <v>132</v>
      </c>
      <c r="B567" s="1">
        <v>45254</v>
      </c>
      <c r="C567" t="s">
        <v>14</v>
      </c>
      <c r="D567">
        <v>2</v>
      </c>
      <c r="E567">
        <v>80</v>
      </c>
      <c r="F567">
        <v>9</v>
      </c>
      <c r="G567">
        <v>720</v>
      </c>
      <c r="H567">
        <v>104</v>
      </c>
      <c r="I567" t="s">
        <v>23</v>
      </c>
      <c r="J567" t="s">
        <v>37</v>
      </c>
    </row>
    <row r="568" spans="1:10" x14ac:dyDescent="0.25">
      <c r="A568" t="s">
        <v>132</v>
      </c>
      <c r="B568" s="1">
        <v>45254</v>
      </c>
      <c r="C568" t="s">
        <v>14</v>
      </c>
      <c r="D568">
        <v>3</v>
      </c>
      <c r="E568">
        <v>75</v>
      </c>
      <c r="F568">
        <v>10</v>
      </c>
      <c r="G568">
        <v>750</v>
      </c>
      <c r="H568">
        <v>100</v>
      </c>
      <c r="I568" t="s">
        <v>23</v>
      </c>
      <c r="J568" t="s">
        <v>37</v>
      </c>
    </row>
    <row r="569" spans="1:10" x14ac:dyDescent="0.25">
      <c r="A569" t="s">
        <v>132</v>
      </c>
      <c r="B569" s="1">
        <v>45254</v>
      </c>
      <c r="C569" t="s">
        <v>14</v>
      </c>
      <c r="D569">
        <v>4</v>
      </c>
      <c r="E569">
        <v>75</v>
      </c>
      <c r="F569">
        <v>8</v>
      </c>
      <c r="G569">
        <v>600</v>
      </c>
      <c r="H569">
        <v>95</v>
      </c>
      <c r="I569" t="s">
        <v>23</v>
      </c>
      <c r="J569" t="s">
        <v>37</v>
      </c>
    </row>
    <row r="570" spans="1:10" x14ac:dyDescent="0.25">
      <c r="A570" t="s">
        <v>132</v>
      </c>
      <c r="B570" s="1">
        <v>45254</v>
      </c>
      <c r="C570" t="s">
        <v>45</v>
      </c>
      <c r="D570">
        <v>1</v>
      </c>
      <c r="E570">
        <v>15</v>
      </c>
      <c r="F570">
        <v>20</v>
      </c>
      <c r="G570">
        <v>300</v>
      </c>
      <c r="H570">
        <v>25</v>
      </c>
      <c r="I570" t="s">
        <v>23</v>
      </c>
      <c r="J570" t="s">
        <v>38</v>
      </c>
    </row>
    <row r="571" spans="1:10" x14ac:dyDescent="0.25">
      <c r="A571" t="s">
        <v>132</v>
      </c>
      <c r="B571" s="1">
        <v>45254</v>
      </c>
      <c r="C571" t="s">
        <v>45</v>
      </c>
      <c r="D571">
        <v>2</v>
      </c>
      <c r="E571">
        <v>15</v>
      </c>
      <c r="F571">
        <v>20</v>
      </c>
      <c r="G571">
        <v>300</v>
      </c>
      <c r="H571">
        <v>25</v>
      </c>
      <c r="I571" t="s">
        <v>23</v>
      </c>
      <c r="J571" t="s">
        <v>38</v>
      </c>
    </row>
    <row r="572" spans="1:10" x14ac:dyDescent="0.25">
      <c r="A572" t="s">
        <v>132</v>
      </c>
      <c r="B572" s="1">
        <v>45254</v>
      </c>
      <c r="C572" t="s">
        <v>45</v>
      </c>
      <c r="D572">
        <v>3</v>
      </c>
      <c r="E572">
        <v>15</v>
      </c>
      <c r="F572">
        <v>20</v>
      </c>
      <c r="G572">
        <v>300</v>
      </c>
      <c r="H572">
        <v>25</v>
      </c>
      <c r="I572" t="s">
        <v>23</v>
      </c>
      <c r="J572" t="s">
        <v>38</v>
      </c>
    </row>
    <row r="573" spans="1:10" x14ac:dyDescent="0.25">
      <c r="A573" t="s">
        <v>132</v>
      </c>
      <c r="B573" s="1">
        <v>45254</v>
      </c>
      <c r="C573" t="s">
        <v>46</v>
      </c>
      <c r="D573">
        <v>1</v>
      </c>
      <c r="E573">
        <v>20</v>
      </c>
      <c r="F573">
        <v>20</v>
      </c>
      <c r="G573">
        <v>400</v>
      </c>
      <c r="H573">
        <v>33.33</v>
      </c>
      <c r="I573" t="s">
        <v>23</v>
      </c>
      <c r="J573" t="s">
        <v>38</v>
      </c>
    </row>
    <row r="574" spans="1:10" x14ac:dyDescent="0.25">
      <c r="A574" t="s">
        <v>132</v>
      </c>
      <c r="B574" s="1">
        <v>45254</v>
      </c>
      <c r="C574" t="s">
        <v>46</v>
      </c>
      <c r="D574">
        <v>2</v>
      </c>
      <c r="E574">
        <v>20</v>
      </c>
      <c r="F574">
        <v>20</v>
      </c>
      <c r="G574">
        <v>400</v>
      </c>
      <c r="H574">
        <v>33.33</v>
      </c>
      <c r="I574" t="s">
        <v>23</v>
      </c>
      <c r="J574" t="s">
        <v>38</v>
      </c>
    </row>
    <row r="575" spans="1:10" x14ac:dyDescent="0.25">
      <c r="A575" t="s">
        <v>132</v>
      </c>
      <c r="B575" s="1">
        <v>45254</v>
      </c>
      <c r="C575" t="s">
        <v>49</v>
      </c>
      <c r="D575">
        <v>1</v>
      </c>
      <c r="E575">
        <v>10</v>
      </c>
      <c r="F575">
        <v>20</v>
      </c>
      <c r="G575">
        <v>200</v>
      </c>
      <c r="H575">
        <v>16.670000000000002</v>
      </c>
      <c r="I575" t="s">
        <v>23</v>
      </c>
      <c r="J575" t="s">
        <v>38</v>
      </c>
    </row>
    <row r="576" spans="1:10" x14ac:dyDescent="0.25">
      <c r="A576" t="s">
        <v>132</v>
      </c>
      <c r="B576" s="1">
        <v>45254</v>
      </c>
      <c r="C576" t="s">
        <v>49</v>
      </c>
      <c r="D576">
        <v>2</v>
      </c>
      <c r="E576">
        <v>15</v>
      </c>
      <c r="F576">
        <v>20</v>
      </c>
      <c r="G576">
        <v>300</v>
      </c>
      <c r="H576">
        <v>25</v>
      </c>
      <c r="I576" t="s">
        <v>23</v>
      </c>
      <c r="J576" t="s">
        <v>38</v>
      </c>
    </row>
    <row r="577" spans="1:10" x14ac:dyDescent="0.25">
      <c r="A577" t="s">
        <v>132</v>
      </c>
      <c r="B577" s="1">
        <v>45254</v>
      </c>
      <c r="C577" t="s">
        <v>49</v>
      </c>
      <c r="D577">
        <v>3</v>
      </c>
      <c r="E577">
        <v>15</v>
      </c>
      <c r="F577">
        <v>20</v>
      </c>
      <c r="G577">
        <v>300</v>
      </c>
      <c r="H577">
        <v>25</v>
      </c>
      <c r="I577" t="s">
        <v>23</v>
      </c>
      <c r="J577" t="s">
        <v>38</v>
      </c>
    </row>
    <row r="578" spans="1:10" x14ac:dyDescent="0.25">
      <c r="A578" t="s">
        <v>133</v>
      </c>
      <c r="B578" s="1">
        <v>45256</v>
      </c>
      <c r="C578" t="s">
        <v>9</v>
      </c>
      <c r="D578">
        <v>1</v>
      </c>
      <c r="E578">
        <v>45</v>
      </c>
      <c r="F578">
        <v>15</v>
      </c>
      <c r="G578">
        <v>675</v>
      </c>
      <c r="H578">
        <v>67.5</v>
      </c>
      <c r="I578" t="s">
        <v>21</v>
      </c>
      <c r="J578" t="s">
        <v>37</v>
      </c>
    </row>
    <row r="579" spans="1:10" x14ac:dyDescent="0.25">
      <c r="A579" t="s">
        <v>133</v>
      </c>
      <c r="B579" s="1">
        <v>45256</v>
      </c>
      <c r="C579" t="s">
        <v>9</v>
      </c>
      <c r="D579">
        <v>2</v>
      </c>
      <c r="E579">
        <v>45</v>
      </c>
      <c r="F579">
        <v>15</v>
      </c>
      <c r="G579">
        <v>675</v>
      </c>
      <c r="H579">
        <v>67.5</v>
      </c>
      <c r="I579" t="s">
        <v>21</v>
      </c>
      <c r="J579" t="s">
        <v>37</v>
      </c>
    </row>
    <row r="580" spans="1:10" x14ac:dyDescent="0.25">
      <c r="A580" t="s">
        <v>133</v>
      </c>
      <c r="B580" s="1">
        <v>45256</v>
      </c>
      <c r="C580" t="s">
        <v>9</v>
      </c>
      <c r="D580">
        <v>3</v>
      </c>
      <c r="E580">
        <v>55</v>
      </c>
      <c r="F580">
        <v>15</v>
      </c>
      <c r="G580">
        <v>825</v>
      </c>
      <c r="H580">
        <v>82.5</v>
      </c>
      <c r="I580" t="s">
        <v>21</v>
      </c>
      <c r="J580" t="s">
        <v>37</v>
      </c>
    </row>
    <row r="581" spans="1:10" x14ac:dyDescent="0.25">
      <c r="A581" t="s">
        <v>133</v>
      </c>
      <c r="B581" s="1">
        <v>45256</v>
      </c>
      <c r="C581" t="s">
        <v>9</v>
      </c>
      <c r="D581">
        <v>4</v>
      </c>
      <c r="E581">
        <v>65</v>
      </c>
      <c r="F581">
        <v>15</v>
      </c>
      <c r="G581">
        <v>975</v>
      </c>
      <c r="H581">
        <v>97.5</v>
      </c>
      <c r="I581" t="s">
        <v>21</v>
      </c>
      <c r="J581" t="s">
        <v>37</v>
      </c>
    </row>
    <row r="582" spans="1:10" x14ac:dyDescent="0.25">
      <c r="A582" t="s">
        <v>133</v>
      </c>
      <c r="B582" s="1">
        <v>45256</v>
      </c>
      <c r="C582" t="s">
        <v>10</v>
      </c>
      <c r="D582">
        <v>1</v>
      </c>
      <c r="E582">
        <v>65</v>
      </c>
      <c r="F582">
        <v>12</v>
      </c>
      <c r="G582">
        <v>780</v>
      </c>
      <c r="H582">
        <v>91</v>
      </c>
      <c r="I582" t="s">
        <v>21</v>
      </c>
      <c r="J582" t="s">
        <v>38</v>
      </c>
    </row>
    <row r="583" spans="1:10" x14ac:dyDescent="0.25">
      <c r="A583" t="s">
        <v>133</v>
      </c>
      <c r="B583" s="1">
        <v>45256</v>
      </c>
      <c r="C583" t="s">
        <v>10</v>
      </c>
      <c r="D583">
        <v>2</v>
      </c>
      <c r="E583">
        <v>70</v>
      </c>
      <c r="F583">
        <v>11</v>
      </c>
      <c r="G583">
        <v>770</v>
      </c>
      <c r="H583">
        <v>95.67</v>
      </c>
      <c r="I583" t="s">
        <v>21</v>
      </c>
      <c r="J583" t="s">
        <v>38</v>
      </c>
    </row>
    <row r="584" spans="1:10" x14ac:dyDescent="0.25">
      <c r="A584" t="s">
        <v>133</v>
      </c>
      <c r="B584" s="1">
        <v>45256</v>
      </c>
      <c r="C584" t="s">
        <v>10</v>
      </c>
      <c r="D584">
        <v>3</v>
      </c>
      <c r="E584">
        <v>70</v>
      </c>
      <c r="F584">
        <v>9</v>
      </c>
      <c r="G584">
        <v>630</v>
      </c>
      <c r="H584">
        <v>91</v>
      </c>
      <c r="I584" t="s">
        <v>21</v>
      </c>
      <c r="J584" t="s">
        <v>38</v>
      </c>
    </row>
    <row r="585" spans="1:10" x14ac:dyDescent="0.25">
      <c r="A585" t="s">
        <v>133</v>
      </c>
      <c r="B585" s="1">
        <v>45256</v>
      </c>
      <c r="C585" t="s">
        <v>16</v>
      </c>
      <c r="D585">
        <v>1</v>
      </c>
      <c r="E585">
        <v>50</v>
      </c>
      <c r="F585">
        <v>15</v>
      </c>
      <c r="G585">
        <v>750</v>
      </c>
      <c r="H585">
        <v>75</v>
      </c>
      <c r="I585" t="s">
        <v>21</v>
      </c>
      <c r="J585" t="s">
        <v>38</v>
      </c>
    </row>
    <row r="586" spans="1:10" x14ac:dyDescent="0.25">
      <c r="A586" t="s">
        <v>133</v>
      </c>
      <c r="B586" s="1">
        <v>45256</v>
      </c>
      <c r="C586" t="s">
        <v>16</v>
      </c>
      <c r="D586">
        <v>2</v>
      </c>
      <c r="E586">
        <v>95</v>
      </c>
      <c r="F586">
        <v>10</v>
      </c>
      <c r="G586">
        <v>950</v>
      </c>
      <c r="H586">
        <v>126.67</v>
      </c>
      <c r="I586" t="s">
        <v>21</v>
      </c>
      <c r="J586" t="s">
        <v>38</v>
      </c>
    </row>
    <row r="587" spans="1:10" x14ac:dyDescent="0.25">
      <c r="A587" t="s">
        <v>133</v>
      </c>
      <c r="B587" s="1">
        <v>45256</v>
      </c>
      <c r="C587" t="s">
        <v>19</v>
      </c>
      <c r="D587">
        <v>1</v>
      </c>
      <c r="E587">
        <v>171</v>
      </c>
      <c r="F587">
        <v>10</v>
      </c>
      <c r="G587">
        <v>1710</v>
      </c>
      <c r="H587">
        <v>228</v>
      </c>
      <c r="I587" t="s">
        <v>21</v>
      </c>
      <c r="J587" t="s">
        <v>37</v>
      </c>
    </row>
    <row r="588" spans="1:10" x14ac:dyDescent="0.25">
      <c r="A588" t="s">
        <v>133</v>
      </c>
      <c r="B588" s="1">
        <v>45256</v>
      </c>
      <c r="C588" t="s">
        <v>19</v>
      </c>
      <c r="D588">
        <v>2</v>
      </c>
      <c r="E588">
        <v>174</v>
      </c>
      <c r="F588">
        <v>10</v>
      </c>
      <c r="G588">
        <v>1740</v>
      </c>
      <c r="H588">
        <v>232</v>
      </c>
      <c r="I588" t="s">
        <v>21</v>
      </c>
      <c r="J588" t="s">
        <v>37</v>
      </c>
    </row>
    <row r="589" spans="1:10" x14ac:dyDescent="0.25">
      <c r="A589" t="s">
        <v>133</v>
      </c>
      <c r="B589" s="1">
        <v>45256</v>
      </c>
      <c r="C589" t="s">
        <v>19</v>
      </c>
      <c r="D589">
        <v>3</v>
      </c>
      <c r="E589">
        <v>171</v>
      </c>
      <c r="F589">
        <v>9</v>
      </c>
      <c r="G589">
        <v>1539</v>
      </c>
      <c r="H589">
        <v>222.3</v>
      </c>
      <c r="I589" t="s">
        <v>21</v>
      </c>
      <c r="J589" t="s">
        <v>37</v>
      </c>
    </row>
    <row r="590" spans="1:10" x14ac:dyDescent="0.25">
      <c r="A590" t="s">
        <v>133</v>
      </c>
      <c r="B590" s="1">
        <v>45256</v>
      </c>
      <c r="C590" t="s">
        <v>19</v>
      </c>
      <c r="D590">
        <v>4</v>
      </c>
      <c r="E590">
        <v>174</v>
      </c>
      <c r="F590">
        <v>8</v>
      </c>
      <c r="G590">
        <v>1392</v>
      </c>
      <c r="H590">
        <v>220.4</v>
      </c>
      <c r="I590" t="s">
        <v>21</v>
      </c>
      <c r="J590" t="s">
        <v>37</v>
      </c>
    </row>
    <row r="591" spans="1:10" x14ac:dyDescent="0.25">
      <c r="A591" t="s">
        <v>133</v>
      </c>
      <c r="B591" s="1">
        <v>45256</v>
      </c>
      <c r="C591" t="s">
        <v>47</v>
      </c>
      <c r="D591">
        <v>1</v>
      </c>
      <c r="E591">
        <v>65</v>
      </c>
      <c r="F591">
        <v>20</v>
      </c>
      <c r="G591">
        <v>1300</v>
      </c>
      <c r="H591">
        <v>108.33</v>
      </c>
      <c r="I591" t="s">
        <v>21</v>
      </c>
      <c r="J591" t="s">
        <v>38</v>
      </c>
    </row>
    <row r="592" spans="1:10" x14ac:dyDescent="0.25">
      <c r="A592" t="s">
        <v>133</v>
      </c>
      <c r="B592" s="1">
        <v>45256</v>
      </c>
      <c r="C592" t="s">
        <v>47</v>
      </c>
      <c r="D592">
        <v>2</v>
      </c>
      <c r="E592">
        <v>65</v>
      </c>
      <c r="F592">
        <v>20</v>
      </c>
      <c r="G592">
        <v>1300</v>
      </c>
      <c r="H592">
        <v>108.33</v>
      </c>
      <c r="I592" t="s">
        <v>21</v>
      </c>
      <c r="J592" t="s">
        <v>38</v>
      </c>
    </row>
    <row r="593" spans="1:10" x14ac:dyDescent="0.25">
      <c r="A593" t="s">
        <v>133</v>
      </c>
      <c r="B593" s="1">
        <v>45256</v>
      </c>
      <c r="C593" t="s">
        <v>47</v>
      </c>
      <c r="D593">
        <v>3</v>
      </c>
      <c r="E593">
        <v>75</v>
      </c>
      <c r="F593">
        <v>20</v>
      </c>
      <c r="G593">
        <v>1500</v>
      </c>
      <c r="H593">
        <v>125</v>
      </c>
      <c r="I593" t="s">
        <v>21</v>
      </c>
      <c r="J593" t="s">
        <v>38</v>
      </c>
    </row>
    <row r="594" spans="1:10" x14ac:dyDescent="0.25">
      <c r="A594" t="s">
        <v>134</v>
      </c>
      <c r="B594" s="1">
        <v>45257</v>
      </c>
      <c r="C594" t="s">
        <v>12</v>
      </c>
      <c r="D594">
        <v>1</v>
      </c>
      <c r="E594">
        <v>45</v>
      </c>
      <c r="F594">
        <v>15</v>
      </c>
      <c r="G594">
        <v>675</v>
      </c>
      <c r="H594">
        <v>67.5</v>
      </c>
      <c r="I594" t="s">
        <v>23</v>
      </c>
      <c r="J594" t="s">
        <v>37</v>
      </c>
    </row>
    <row r="595" spans="1:10" x14ac:dyDescent="0.25">
      <c r="A595" t="s">
        <v>134</v>
      </c>
      <c r="B595" s="1">
        <v>45257</v>
      </c>
      <c r="C595" t="s">
        <v>12</v>
      </c>
      <c r="D595">
        <v>2</v>
      </c>
      <c r="E595">
        <v>95</v>
      </c>
      <c r="F595">
        <v>12</v>
      </c>
      <c r="G595">
        <v>1140</v>
      </c>
      <c r="H595">
        <v>133</v>
      </c>
      <c r="I595" t="s">
        <v>23</v>
      </c>
      <c r="J595" t="s">
        <v>37</v>
      </c>
    </row>
    <row r="596" spans="1:10" x14ac:dyDescent="0.25">
      <c r="A596" t="s">
        <v>134</v>
      </c>
      <c r="B596" s="1">
        <v>45257</v>
      </c>
      <c r="C596" t="s">
        <v>12</v>
      </c>
      <c r="D596">
        <v>3</v>
      </c>
      <c r="E596">
        <v>135</v>
      </c>
      <c r="F596">
        <v>10</v>
      </c>
      <c r="G596">
        <v>1350</v>
      </c>
      <c r="H596">
        <v>180</v>
      </c>
      <c r="I596" t="s">
        <v>23</v>
      </c>
      <c r="J596" t="s">
        <v>37</v>
      </c>
    </row>
    <row r="597" spans="1:10" x14ac:dyDescent="0.25">
      <c r="A597" t="s">
        <v>134</v>
      </c>
      <c r="B597" s="1">
        <v>45257</v>
      </c>
      <c r="C597" t="s">
        <v>12</v>
      </c>
      <c r="D597">
        <v>4</v>
      </c>
      <c r="E597">
        <v>145</v>
      </c>
      <c r="F597">
        <v>6</v>
      </c>
      <c r="G597">
        <v>870</v>
      </c>
      <c r="H597">
        <v>174</v>
      </c>
      <c r="I597" t="s">
        <v>23</v>
      </c>
      <c r="J597" t="s">
        <v>37</v>
      </c>
    </row>
    <row r="598" spans="1:10" x14ac:dyDescent="0.25">
      <c r="A598" t="s">
        <v>134</v>
      </c>
      <c r="B598" s="1">
        <v>45257</v>
      </c>
      <c r="C598" t="s">
        <v>12</v>
      </c>
      <c r="D598">
        <v>5</v>
      </c>
      <c r="E598">
        <v>95</v>
      </c>
      <c r="F598">
        <v>16</v>
      </c>
      <c r="G598">
        <v>1520</v>
      </c>
      <c r="H598">
        <v>145.66999999999999</v>
      </c>
      <c r="I598" t="s">
        <v>23</v>
      </c>
      <c r="J598" t="s">
        <v>37</v>
      </c>
    </row>
    <row r="599" spans="1:10" x14ac:dyDescent="0.25">
      <c r="A599" t="s">
        <v>134</v>
      </c>
      <c r="B599" s="1">
        <v>45257</v>
      </c>
      <c r="C599" t="s">
        <v>13</v>
      </c>
      <c r="D599">
        <v>1</v>
      </c>
      <c r="E599">
        <v>65</v>
      </c>
      <c r="F599">
        <v>14</v>
      </c>
      <c r="G599">
        <v>910</v>
      </c>
      <c r="H599">
        <v>95.33</v>
      </c>
      <c r="I599" t="s">
        <v>23</v>
      </c>
      <c r="J599" t="s">
        <v>38</v>
      </c>
    </row>
    <row r="600" spans="1:10" x14ac:dyDescent="0.25">
      <c r="A600" t="s">
        <v>134</v>
      </c>
      <c r="B600" s="1">
        <v>45257</v>
      </c>
      <c r="C600" t="s">
        <v>13</v>
      </c>
      <c r="D600">
        <v>2</v>
      </c>
      <c r="E600">
        <v>70</v>
      </c>
      <c r="F600">
        <v>9</v>
      </c>
      <c r="G600">
        <v>630</v>
      </c>
      <c r="H600">
        <v>91</v>
      </c>
      <c r="I600" t="s">
        <v>23</v>
      </c>
      <c r="J600" t="s">
        <v>38</v>
      </c>
    </row>
    <row r="601" spans="1:10" x14ac:dyDescent="0.25">
      <c r="A601" t="s">
        <v>134</v>
      </c>
      <c r="B601" s="1">
        <v>45257</v>
      </c>
      <c r="C601" t="s">
        <v>13</v>
      </c>
      <c r="D601">
        <v>3</v>
      </c>
      <c r="E601">
        <v>65</v>
      </c>
      <c r="F601">
        <v>11</v>
      </c>
      <c r="G601">
        <v>715</v>
      </c>
      <c r="H601">
        <v>88.83</v>
      </c>
      <c r="I601" t="s">
        <v>23</v>
      </c>
      <c r="J601" t="s">
        <v>38</v>
      </c>
    </row>
    <row r="602" spans="1:10" x14ac:dyDescent="0.25">
      <c r="A602" t="s">
        <v>134</v>
      </c>
      <c r="B602" s="1">
        <v>45257</v>
      </c>
      <c r="C602" t="s">
        <v>14</v>
      </c>
      <c r="D602">
        <v>1</v>
      </c>
      <c r="E602">
        <v>45</v>
      </c>
      <c r="F602">
        <v>12</v>
      </c>
      <c r="G602">
        <v>540</v>
      </c>
      <c r="H602">
        <v>63</v>
      </c>
      <c r="I602" t="s">
        <v>23</v>
      </c>
      <c r="J602" t="s">
        <v>37</v>
      </c>
    </row>
    <row r="603" spans="1:10" x14ac:dyDescent="0.25">
      <c r="A603" t="s">
        <v>134</v>
      </c>
      <c r="B603" s="1">
        <v>45257</v>
      </c>
      <c r="C603" t="s">
        <v>14</v>
      </c>
      <c r="D603">
        <v>2</v>
      </c>
      <c r="E603">
        <v>80</v>
      </c>
      <c r="F603">
        <v>10</v>
      </c>
      <c r="G603">
        <v>800</v>
      </c>
      <c r="H603">
        <v>106.67</v>
      </c>
      <c r="I603" t="s">
        <v>23</v>
      </c>
      <c r="J603" t="s">
        <v>37</v>
      </c>
    </row>
    <row r="604" spans="1:10" x14ac:dyDescent="0.25">
      <c r="A604" t="s">
        <v>134</v>
      </c>
      <c r="B604" s="1">
        <v>45257</v>
      </c>
      <c r="C604" t="s">
        <v>14</v>
      </c>
      <c r="D604">
        <v>3</v>
      </c>
      <c r="E604">
        <v>80</v>
      </c>
      <c r="F604">
        <v>9</v>
      </c>
      <c r="G604">
        <v>720</v>
      </c>
      <c r="H604">
        <v>104</v>
      </c>
      <c r="I604" t="s">
        <v>23</v>
      </c>
      <c r="J604" t="s">
        <v>37</v>
      </c>
    </row>
    <row r="605" spans="1:10" x14ac:dyDescent="0.25">
      <c r="A605" t="s">
        <v>134</v>
      </c>
      <c r="B605" s="1">
        <v>45257</v>
      </c>
      <c r="C605" t="s">
        <v>14</v>
      </c>
      <c r="D605">
        <v>4</v>
      </c>
      <c r="E605">
        <v>75</v>
      </c>
      <c r="F605">
        <v>9</v>
      </c>
      <c r="G605">
        <v>675</v>
      </c>
      <c r="H605">
        <v>97.5</v>
      </c>
      <c r="I605" t="s">
        <v>23</v>
      </c>
      <c r="J605" t="s">
        <v>37</v>
      </c>
    </row>
    <row r="606" spans="1:10" x14ac:dyDescent="0.25">
      <c r="A606" t="s">
        <v>134</v>
      </c>
      <c r="B606" s="1">
        <v>45257</v>
      </c>
      <c r="C606" t="s">
        <v>45</v>
      </c>
      <c r="D606">
        <v>1</v>
      </c>
      <c r="E606">
        <v>15</v>
      </c>
      <c r="F606">
        <v>20</v>
      </c>
      <c r="G606">
        <v>300</v>
      </c>
      <c r="H606">
        <v>25</v>
      </c>
      <c r="I606" t="s">
        <v>23</v>
      </c>
      <c r="J606" t="s">
        <v>38</v>
      </c>
    </row>
    <row r="607" spans="1:10" x14ac:dyDescent="0.25">
      <c r="A607" t="s">
        <v>134</v>
      </c>
      <c r="B607" s="1">
        <v>45257</v>
      </c>
      <c r="C607" t="s">
        <v>45</v>
      </c>
      <c r="D607">
        <v>2</v>
      </c>
      <c r="E607">
        <v>15</v>
      </c>
      <c r="F607">
        <v>20</v>
      </c>
      <c r="G607">
        <v>300</v>
      </c>
      <c r="H607">
        <v>25</v>
      </c>
      <c r="I607" t="s">
        <v>23</v>
      </c>
      <c r="J607" t="s">
        <v>38</v>
      </c>
    </row>
    <row r="608" spans="1:10" x14ac:dyDescent="0.25">
      <c r="A608" t="s">
        <v>134</v>
      </c>
      <c r="B608" s="1">
        <v>45257</v>
      </c>
      <c r="C608" t="s">
        <v>45</v>
      </c>
      <c r="D608">
        <v>3</v>
      </c>
      <c r="E608">
        <v>15</v>
      </c>
      <c r="F608">
        <v>20</v>
      </c>
      <c r="G608">
        <v>300</v>
      </c>
      <c r="H608">
        <v>25</v>
      </c>
      <c r="I608" t="s">
        <v>23</v>
      </c>
      <c r="J608" t="s">
        <v>38</v>
      </c>
    </row>
    <row r="609" spans="1:10" x14ac:dyDescent="0.25">
      <c r="A609" t="s">
        <v>134</v>
      </c>
      <c r="B609" s="1">
        <v>45257</v>
      </c>
      <c r="C609" t="s">
        <v>49</v>
      </c>
      <c r="D609">
        <v>1</v>
      </c>
      <c r="E609">
        <v>15</v>
      </c>
      <c r="F609">
        <v>20</v>
      </c>
      <c r="G609">
        <v>300</v>
      </c>
      <c r="H609">
        <v>25</v>
      </c>
      <c r="I609" t="s">
        <v>23</v>
      </c>
      <c r="J609" t="s">
        <v>38</v>
      </c>
    </row>
    <row r="610" spans="1:10" x14ac:dyDescent="0.25">
      <c r="A610" t="s">
        <v>134</v>
      </c>
      <c r="B610" s="1">
        <v>45257</v>
      </c>
      <c r="C610" t="s">
        <v>49</v>
      </c>
      <c r="D610">
        <v>2</v>
      </c>
      <c r="E610">
        <v>15</v>
      </c>
      <c r="F610">
        <v>20</v>
      </c>
      <c r="G610">
        <v>300</v>
      </c>
      <c r="H610">
        <v>25</v>
      </c>
      <c r="I610" t="s">
        <v>23</v>
      </c>
      <c r="J610" t="s">
        <v>38</v>
      </c>
    </row>
    <row r="611" spans="1:10" x14ac:dyDescent="0.25">
      <c r="A611" t="s">
        <v>134</v>
      </c>
      <c r="B611" s="1">
        <v>45257</v>
      </c>
      <c r="C611" t="s">
        <v>49</v>
      </c>
      <c r="D611">
        <v>3</v>
      </c>
      <c r="E611">
        <v>15</v>
      </c>
      <c r="F611">
        <v>20</v>
      </c>
      <c r="G611">
        <v>300</v>
      </c>
      <c r="H611">
        <v>25</v>
      </c>
      <c r="I611" t="s">
        <v>23</v>
      </c>
      <c r="J611" t="s">
        <v>38</v>
      </c>
    </row>
    <row r="612" spans="1:10" x14ac:dyDescent="0.25">
      <c r="A612" t="s">
        <v>135</v>
      </c>
      <c r="B612" s="1">
        <v>45258</v>
      </c>
      <c r="C612" t="s">
        <v>17</v>
      </c>
      <c r="D612">
        <v>1</v>
      </c>
      <c r="E612">
        <v>45</v>
      </c>
      <c r="F612">
        <v>16</v>
      </c>
      <c r="G612">
        <v>720</v>
      </c>
      <c r="H612">
        <v>69</v>
      </c>
      <c r="I612" t="s">
        <v>22</v>
      </c>
      <c r="J612" t="s">
        <v>37</v>
      </c>
    </row>
    <row r="613" spans="1:10" x14ac:dyDescent="0.25">
      <c r="A613" t="s">
        <v>135</v>
      </c>
      <c r="B613" s="1">
        <v>45258</v>
      </c>
      <c r="C613" t="s">
        <v>17</v>
      </c>
      <c r="D613">
        <v>2</v>
      </c>
      <c r="E613">
        <v>80</v>
      </c>
      <c r="F613">
        <v>12</v>
      </c>
      <c r="G613">
        <v>960</v>
      </c>
      <c r="H613">
        <v>112</v>
      </c>
      <c r="I613" t="s">
        <v>22</v>
      </c>
      <c r="J613" t="s">
        <v>37</v>
      </c>
    </row>
    <row r="614" spans="1:10" x14ac:dyDescent="0.25">
      <c r="A614" t="s">
        <v>135</v>
      </c>
      <c r="B614" s="1">
        <v>45258</v>
      </c>
      <c r="C614" t="s">
        <v>17</v>
      </c>
      <c r="D614">
        <v>3</v>
      </c>
      <c r="E614">
        <v>135</v>
      </c>
      <c r="F614">
        <v>10</v>
      </c>
      <c r="G614">
        <v>1350</v>
      </c>
      <c r="H614">
        <v>180</v>
      </c>
      <c r="I614" t="s">
        <v>22</v>
      </c>
      <c r="J614" t="s">
        <v>37</v>
      </c>
    </row>
    <row r="615" spans="1:10" x14ac:dyDescent="0.25">
      <c r="A615" t="s">
        <v>135</v>
      </c>
      <c r="B615" s="1">
        <v>45258</v>
      </c>
      <c r="C615" t="s">
        <v>17</v>
      </c>
      <c r="D615">
        <v>4</v>
      </c>
      <c r="E615">
        <v>120</v>
      </c>
      <c r="F615">
        <v>12</v>
      </c>
      <c r="G615">
        <v>1440</v>
      </c>
      <c r="H615">
        <v>168</v>
      </c>
      <c r="I615" t="s">
        <v>22</v>
      </c>
      <c r="J615" t="s">
        <v>37</v>
      </c>
    </row>
    <row r="616" spans="1:10" x14ac:dyDescent="0.25">
      <c r="A616" t="s">
        <v>135</v>
      </c>
      <c r="B616" s="1">
        <v>45258</v>
      </c>
      <c r="C616" t="s">
        <v>17</v>
      </c>
      <c r="D616">
        <v>5</v>
      </c>
      <c r="E616">
        <v>120</v>
      </c>
      <c r="F616">
        <v>10</v>
      </c>
      <c r="G616">
        <v>1200</v>
      </c>
      <c r="H616">
        <v>160</v>
      </c>
      <c r="I616" t="s">
        <v>22</v>
      </c>
      <c r="J616" t="s">
        <v>37</v>
      </c>
    </row>
    <row r="617" spans="1:10" x14ac:dyDescent="0.25">
      <c r="A617" t="s">
        <v>135</v>
      </c>
      <c r="B617" s="1">
        <v>45258</v>
      </c>
      <c r="C617" t="s">
        <v>11</v>
      </c>
      <c r="D617">
        <v>1</v>
      </c>
      <c r="E617">
        <v>185</v>
      </c>
      <c r="F617">
        <v>12</v>
      </c>
      <c r="G617">
        <v>2220</v>
      </c>
      <c r="H617">
        <v>259</v>
      </c>
      <c r="I617" t="s">
        <v>22</v>
      </c>
      <c r="J617" t="s">
        <v>37</v>
      </c>
    </row>
    <row r="618" spans="1:10" x14ac:dyDescent="0.25">
      <c r="A618" t="s">
        <v>135</v>
      </c>
      <c r="B618" s="1">
        <v>45258</v>
      </c>
      <c r="C618" t="s">
        <v>11</v>
      </c>
      <c r="D618">
        <v>2</v>
      </c>
      <c r="E618">
        <v>190</v>
      </c>
      <c r="F618">
        <v>12</v>
      </c>
      <c r="G618">
        <v>2280</v>
      </c>
      <c r="H618">
        <v>266</v>
      </c>
      <c r="I618" t="s">
        <v>22</v>
      </c>
      <c r="J618" t="s">
        <v>37</v>
      </c>
    </row>
    <row r="619" spans="1:10" x14ac:dyDescent="0.25">
      <c r="A619" t="s">
        <v>135</v>
      </c>
      <c r="B619" s="1">
        <v>45258</v>
      </c>
      <c r="C619" t="s">
        <v>11</v>
      </c>
      <c r="D619">
        <v>3</v>
      </c>
      <c r="E619">
        <v>205</v>
      </c>
      <c r="F619">
        <v>10</v>
      </c>
      <c r="G619">
        <v>2050</v>
      </c>
      <c r="H619">
        <v>273.33</v>
      </c>
      <c r="I619" t="s">
        <v>22</v>
      </c>
      <c r="J619" t="s">
        <v>37</v>
      </c>
    </row>
    <row r="620" spans="1:10" x14ac:dyDescent="0.25">
      <c r="A620" t="s">
        <v>136</v>
      </c>
      <c r="B620" s="1">
        <v>45265</v>
      </c>
      <c r="C620" t="s">
        <v>9</v>
      </c>
      <c r="D620">
        <v>1</v>
      </c>
      <c r="E620">
        <v>45</v>
      </c>
      <c r="F620">
        <v>15</v>
      </c>
      <c r="G620">
        <v>675</v>
      </c>
      <c r="H620">
        <v>67.5</v>
      </c>
      <c r="I620" t="s">
        <v>21</v>
      </c>
      <c r="J620" t="s">
        <v>37</v>
      </c>
    </row>
    <row r="621" spans="1:10" x14ac:dyDescent="0.25">
      <c r="A621" t="s">
        <v>136</v>
      </c>
      <c r="B621" s="1">
        <v>45265</v>
      </c>
      <c r="C621" t="s">
        <v>9</v>
      </c>
      <c r="D621">
        <v>2</v>
      </c>
      <c r="E621">
        <v>65</v>
      </c>
      <c r="F621">
        <v>15</v>
      </c>
      <c r="G621">
        <v>975</v>
      </c>
      <c r="H621">
        <v>97.5</v>
      </c>
      <c r="I621" t="s">
        <v>21</v>
      </c>
      <c r="J621" t="s">
        <v>37</v>
      </c>
    </row>
    <row r="622" spans="1:10" x14ac:dyDescent="0.25">
      <c r="A622" t="s">
        <v>136</v>
      </c>
      <c r="B622" s="1">
        <v>45265</v>
      </c>
      <c r="C622" t="s">
        <v>9</v>
      </c>
      <c r="D622">
        <v>3</v>
      </c>
      <c r="E622">
        <v>65</v>
      </c>
      <c r="F622">
        <v>15</v>
      </c>
      <c r="G622">
        <v>975</v>
      </c>
      <c r="H622">
        <v>97.5</v>
      </c>
      <c r="I622" t="s">
        <v>21</v>
      </c>
      <c r="J622" t="s">
        <v>37</v>
      </c>
    </row>
    <row r="623" spans="1:10" x14ac:dyDescent="0.25">
      <c r="A623" t="s">
        <v>136</v>
      </c>
      <c r="B623" s="1">
        <v>45265</v>
      </c>
      <c r="C623" t="s">
        <v>9</v>
      </c>
      <c r="D623">
        <v>4</v>
      </c>
      <c r="E623">
        <v>65</v>
      </c>
      <c r="F623">
        <v>15</v>
      </c>
      <c r="G623">
        <v>975</v>
      </c>
      <c r="H623">
        <v>97.5</v>
      </c>
      <c r="I623" t="s">
        <v>21</v>
      </c>
      <c r="J623" t="s">
        <v>37</v>
      </c>
    </row>
    <row r="624" spans="1:10" x14ac:dyDescent="0.25">
      <c r="A624" t="s">
        <v>136</v>
      </c>
      <c r="B624" s="1">
        <v>45265</v>
      </c>
      <c r="C624" t="s">
        <v>10</v>
      </c>
      <c r="D624">
        <v>1</v>
      </c>
      <c r="E624">
        <v>65</v>
      </c>
      <c r="F624">
        <v>15</v>
      </c>
      <c r="G624">
        <v>975</v>
      </c>
      <c r="H624">
        <v>97.5</v>
      </c>
      <c r="I624" t="s">
        <v>21</v>
      </c>
      <c r="J624" t="s">
        <v>38</v>
      </c>
    </row>
    <row r="625" spans="1:10" x14ac:dyDescent="0.25">
      <c r="A625" t="s">
        <v>136</v>
      </c>
      <c r="B625" s="1">
        <v>45265</v>
      </c>
      <c r="C625" t="s">
        <v>10</v>
      </c>
      <c r="D625">
        <v>2</v>
      </c>
      <c r="E625">
        <v>65</v>
      </c>
      <c r="F625">
        <v>12</v>
      </c>
      <c r="G625">
        <v>780</v>
      </c>
      <c r="H625">
        <v>91</v>
      </c>
      <c r="I625" t="s">
        <v>21</v>
      </c>
      <c r="J625" t="s">
        <v>38</v>
      </c>
    </row>
    <row r="626" spans="1:10" x14ac:dyDescent="0.25">
      <c r="A626" t="s">
        <v>136</v>
      </c>
      <c r="B626" s="1">
        <v>45265</v>
      </c>
      <c r="C626" t="s">
        <v>10</v>
      </c>
      <c r="D626">
        <v>3</v>
      </c>
      <c r="E626">
        <v>65</v>
      </c>
      <c r="F626">
        <v>10</v>
      </c>
      <c r="G626">
        <v>650</v>
      </c>
      <c r="H626">
        <v>86.67</v>
      </c>
      <c r="I626" t="s">
        <v>21</v>
      </c>
      <c r="J626" t="s">
        <v>38</v>
      </c>
    </row>
    <row r="627" spans="1:10" x14ac:dyDescent="0.25">
      <c r="A627" t="s">
        <v>136</v>
      </c>
      <c r="B627" s="1">
        <v>45265</v>
      </c>
      <c r="C627" t="s">
        <v>16</v>
      </c>
      <c r="D627">
        <v>1</v>
      </c>
      <c r="E627">
        <v>50</v>
      </c>
      <c r="F627">
        <v>15</v>
      </c>
      <c r="G627">
        <v>750</v>
      </c>
      <c r="H627">
        <v>75</v>
      </c>
      <c r="I627" t="s">
        <v>21</v>
      </c>
      <c r="J627" t="s">
        <v>38</v>
      </c>
    </row>
    <row r="628" spans="1:10" x14ac:dyDescent="0.25">
      <c r="A628" t="s">
        <v>136</v>
      </c>
      <c r="B628" s="1">
        <v>45265</v>
      </c>
      <c r="C628" t="s">
        <v>16</v>
      </c>
      <c r="D628">
        <v>2</v>
      </c>
      <c r="E628">
        <v>70</v>
      </c>
      <c r="F628">
        <v>12</v>
      </c>
      <c r="G628">
        <v>840</v>
      </c>
      <c r="H628">
        <v>98</v>
      </c>
      <c r="I628" t="s">
        <v>21</v>
      </c>
      <c r="J628" t="s">
        <v>38</v>
      </c>
    </row>
    <row r="629" spans="1:10" x14ac:dyDescent="0.25">
      <c r="A629" t="s">
        <v>136</v>
      </c>
      <c r="B629" s="1">
        <v>45265</v>
      </c>
      <c r="C629" t="s">
        <v>16</v>
      </c>
      <c r="D629">
        <v>3</v>
      </c>
      <c r="E629">
        <v>90</v>
      </c>
      <c r="F629">
        <v>10</v>
      </c>
      <c r="G629">
        <v>900</v>
      </c>
      <c r="H629">
        <v>120</v>
      </c>
      <c r="I629" t="s">
        <v>21</v>
      </c>
      <c r="J629" t="s">
        <v>38</v>
      </c>
    </row>
    <row r="630" spans="1:10" x14ac:dyDescent="0.25">
      <c r="A630" t="s">
        <v>136</v>
      </c>
      <c r="B630" s="1">
        <v>45265</v>
      </c>
      <c r="C630" t="s">
        <v>19</v>
      </c>
      <c r="D630">
        <v>1</v>
      </c>
      <c r="E630">
        <v>172</v>
      </c>
      <c r="F630">
        <v>10</v>
      </c>
      <c r="G630">
        <v>1720</v>
      </c>
      <c r="H630">
        <v>229.33</v>
      </c>
      <c r="I630" t="s">
        <v>21</v>
      </c>
      <c r="J630" t="s">
        <v>37</v>
      </c>
    </row>
    <row r="631" spans="1:10" x14ac:dyDescent="0.25">
      <c r="A631" t="s">
        <v>136</v>
      </c>
      <c r="B631" s="1">
        <v>45265</v>
      </c>
      <c r="C631" t="s">
        <v>19</v>
      </c>
      <c r="D631">
        <v>2</v>
      </c>
      <c r="E631">
        <v>177</v>
      </c>
      <c r="F631">
        <v>10</v>
      </c>
      <c r="G631">
        <v>1770</v>
      </c>
      <c r="H631">
        <v>236</v>
      </c>
      <c r="I631" t="s">
        <v>21</v>
      </c>
      <c r="J631" t="s">
        <v>37</v>
      </c>
    </row>
    <row r="632" spans="1:10" x14ac:dyDescent="0.25">
      <c r="A632" t="s">
        <v>136</v>
      </c>
      <c r="B632" s="1">
        <v>45265</v>
      </c>
      <c r="C632" t="s">
        <v>19</v>
      </c>
      <c r="D632">
        <v>3</v>
      </c>
      <c r="E632">
        <v>172</v>
      </c>
      <c r="F632">
        <v>10</v>
      </c>
      <c r="G632">
        <v>1720</v>
      </c>
      <c r="H632">
        <v>229.33</v>
      </c>
      <c r="I632" t="s">
        <v>21</v>
      </c>
      <c r="J632" t="s">
        <v>37</v>
      </c>
    </row>
    <row r="633" spans="1:10" x14ac:dyDescent="0.25">
      <c r="A633" t="s">
        <v>136</v>
      </c>
      <c r="B633" s="1">
        <v>45265</v>
      </c>
      <c r="C633" t="s">
        <v>19</v>
      </c>
      <c r="D633">
        <v>4</v>
      </c>
      <c r="E633">
        <v>177</v>
      </c>
      <c r="F633">
        <v>8</v>
      </c>
      <c r="G633">
        <v>1416</v>
      </c>
      <c r="H633">
        <v>224.2</v>
      </c>
      <c r="I633" t="s">
        <v>21</v>
      </c>
      <c r="J633" t="s">
        <v>37</v>
      </c>
    </row>
    <row r="634" spans="1:10" x14ac:dyDescent="0.25">
      <c r="A634" t="s">
        <v>136</v>
      </c>
      <c r="B634" s="1">
        <v>45265</v>
      </c>
      <c r="C634" t="s">
        <v>47</v>
      </c>
      <c r="D634">
        <v>1</v>
      </c>
      <c r="E634">
        <v>65</v>
      </c>
      <c r="F634">
        <v>20</v>
      </c>
      <c r="G634">
        <v>1300</v>
      </c>
      <c r="H634">
        <v>108.33</v>
      </c>
      <c r="I634" t="s">
        <v>21</v>
      </c>
      <c r="J634" t="s">
        <v>38</v>
      </c>
    </row>
    <row r="635" spans="1:10" x14ac:dyDescent="0.25">
      <c r="A635" t="s">
        <v>136</v>
      </c>
      <c r="B635" s="1">
        <v>45265</v>
      </c>
      <c r="C635" t="s">
        <v>47</v>
      </c>
      <c r="D635">
        <v>2</v>
      </c>
      <c r="E635">
        <v>50</v>
      </c>
      <c r="F635">
        <v>20</v>
      </c>
      <c r="G635">
        <v>1000</v>
      </c>
      <c r="H635">
        <v>83.33</v>
      </c>
      <c r="I635" t="s">
        <v>21</v>
      </c>
      <c r="J635" t="s">
        <v>38</v>
      </c>
    </row>
    <row r="636" spans="1:10" x14ac:dyDescent="0.25">
      <c r="A636" t="s">
        <v>136</v>
      </c>
      <c r="B636" s="1">
        <v>45265</v>
      </c>
      <c r="C636" t="s">
        <v>47</v>
      </c>
      <c r="D636">
        <v>3</v>
      </c>
      <c r="E636">
        <v>70</v>
      </c>
      <c r="F636">
        <v>20</v>
      </c>
      <c r="G636">
        <v>1400</v>
      </c>
      <c r="H636">
        <v>116.67</v>
      </c>
      <c r="I636" t="s">
        <v>21</v>
      </c>
      <c r="J636" t="s">
        <v>38</v>
      </c>
    </row>
    <row r="637" spans="1:10" x14ac:dyDescent="0.25">
      <c r="A637" t="s">
        <v>137</v>
      </c>
      <c r="B637" s="1">
        <v>45266</v>
      </c>
      <c r="C637" t="s">
        <v>12</v>
      </c>
      <c r="D637">
        <v>1</v>
      </c>
      <c r="E637">
        <v>45</v>
      </c>
      <c r="F637">
        <v>15</v>
      </c>
      <c r="G637">
        <v>675</v>
      </c>
      <c r="H637">
        <v>67.5</v>
      </c>
      <c r="I637" t="s">
        <v>23</v>
      </c>
      <c r="J637" t="s">
        <v>37</v>
      </c>
    </row>
    <row r="638" spans="1:10" x14ac:dyDescent="0.25">
      <c r="A638" t="s">
        <v>137</v>
      </c>
      <c r="B638" s="1">
        <v>45266</v>
      </c>
      <c r="C638" t="s">
        <v>12</v>
      </c>
      <c r="D638">
        <v>2</v>
      </c>
      <c r="E638">
        <v>95</v>
      </c>
      <c r="F638">
        <v>12</v>
      </c>
      <c r="G638">
        <v>1140</v>
      </c>
      <c r="H638">
        <v>133</v>
      </c>
      <c r="I638" t="s">
        <v>23</v>
      </c>
      <c r="J638" t="s">
        <v>37</v>
      </c>
    </row>
    <row r="639" spans="1:10" x14ac:dyDescent="0.25">
      <c r="A639" t="s">
        <v>137</v>
      </c>
      <c r="B639" s="1">
        <v>45266</v>
      </c>
      <c r="C639" t="s">
        <v>12</v>
      </c>
      <c r="D639">
        <v>3</v>
      </c>
      <c r="E639">
        <v>140</v>
      </c>
      <c r="F639">
        <v>10</v>
      </c>
      <c r="G639">
        <v>1400</v>
      </c>
      <c r="H639">
        <v>186.67</v>
      </c>
      <c r="I639" t="s">
        <v>23</v>
      </c>
      <c r="J639" t="s">
        <v>37</v>
      </c>
    </row>
    <row r="640" spans="1:10" x14ac:dyDescent="0.25">
      <c r="A640" t="s">
        <v>137</v>
      </c>
      <c r="B640" s="1">
        <v>45266</v>
      </c>
      <c r="C640" t="s">
        <v>12</v>
      </c>
      <c r="D640">
        <v>4</v>
      </c>
      <c r="E640">
        <v>150</v>
      </c>
      <c r="F640">
        <v>6</v>
      </c>
      <c r="G640">
        <v>900</v>
      </c>
      <c r="H640">
        <v>180</v>
      </c>
      <c r="I640" t="s">
        <v>23</v>
      </c>
      <c r="J640" t="s">
        <v>37</v>
      </c>
    </row>
    <row r="641" spans="1:10" x14ac:dyDescent="0.25">
      <c r="A641" t="s">
        <v>137</v>
      </c>
      <c r="B641" s="1">
        <v>45266</v>
      </c>
      <c r="C641" t="s">
        <v>12</v>
      </c>
      <c r="D641">
        <v>5</v>
      </c>
      <c r="E641">
        <v>95</v>
      </c>
      <c r="F641">
        <v>18</v>
      </c>
      <c r="G641">
        <v>1710</v>
      </c>
      <c r="H641">
        <v>152</v>
      </c>
      <c r="I641" t="s">
        <v>23</v>
      </c>
      <c r="J641" t="s">
        <v>37</v>
      </c>
    </row>
    <row r="642" spans="1:10" x14ac:dyDescent="0.25">
      <c r="A642" t="s">
        <v>137</v>
      </c>
      <c r="B642" s="1">
        <v>45266</v>
      </c>
      <c r="C642" t="s">
        <v>13</v>
      </c>
      <c r="D642">
        <v>1</v>
      </c>
      <c r="E642">
        <v>70</v>
      </c>
      <c r="F642">
        <v>13</v>
      </c>
      <c r="G642">
        <v>910</v>
      </c>
      <c r="H642">
        <v>100.33</v>
      </c>
      <c r="I642" t="s">
        <v>23</v>
      </c>
      <c r="J642" t="s">
        <v>38</v>
      </c>
    </row>
    <row r="643" spans="1:10" x14ac:dyDescent="0.25">
      <c r="A643" t="s">
        <v>137</v>
      </c>
      <c r="B643" s="1">
        <v>45266</v>
      </c>
      <c r="C643" t="s">
        <v>13</v>
      </c>
      <c r="D643">
        <v>2</v>
      </c>
      <c r="E643">
        <v>70</v>
      </c>
      <c r="F643">
        <v>10</v>
      </c>
      <c r="G643">
        <v>700</v>
      </c>
      <c r="H643">
        <v>93.33</v>
      </c>
      <c r="I643" t="s">
        <v>23</v>
      </c>
      <c r="J643" t="s">
        <v>38</v>
      </c>
    </row>
    <row r="644" spans="1:10" x14ac:dyDescent="0.25">
      <c r="A644" t="s">
        <v>137</v>
      </c>
      <c r="B644" s="1">
        <v>45266</v>
      </c>
      <c r="C644" t="s">
        <v>13</v>
      </c>
      <c r="D644">
        <v>3</v>
      </c>
      <c r="E644">
        <v>65</v>
      </c>
      <c r="F644">
        <v>10</v>
      </c>
      <c r="G644">
        <v>650</v>
      </c>
      <c r="H644">
        <v>86.67</v>
      </c>
      <c r="I644" t="s">
        <v>23</v>
      </c>
      <c r="J644" t="s">
        <v>38</v>
      </c>
    </row>
    <row r="645" spans="1:10" x14ac:dyDescent="0.25">
      <c r="A645" t="s">
        <v>137</v>
      </c>
      <c r="B645" s="1">
        <v>45266</v>
      </c>
      <c r="C645" t="s">
        <v>14</v>
      </c>
      <c r="D645">
        <v>1</v>
      </c>
      <c r="E645">
        <v>45</v>
      </c>
      <c r="F645">
        <v>12</v>
      </c>
      <c r="G645">
        <v>540</v>
      </c>
      <c r="H645">
        <v>63</v>
      </c>
      <c r="I645" t="s">
        <v>23</v>
      </c>
      <c r="J645" t="s">
        <v>37</v>
      </c>
    </row>
    <row r="646" spans="1:10" x14ac:dyDescent="0.25">
      <c r="A646" t="s">
        <v>137</v>
      </c>
      <c r="B646" s="1">
        <v>45266</v>
      </c>
      <c r="C646" t="s">
        <v>14</v>
      </c>
      <c r="D646">
        <v>2</v>
      </c>
      <c r="E646">
        <v>85</v>
      </c>
      <c r="F646">
        <v>8</v>
      </c>
      <c r="G646">
        <v>680</v>
      </c>
      <c r="H646">
        <v>107.67</v>
      </c>
      <c r="I646" t="s">
        <v>23</v>
      </c>
      <c r="J646" t="s">
        <v>37</v>
      </c>
    </row>
    <row r="647" spans="1:10" x14ac:dyDescent="0.25">
      <c r="A647" t="s">
        <v>137</v>
      </c>
      <c r="B647" s="1">
        <v>45266</v>
      </c>
      <c r="C647" t="s">
        <v>14</v>
      </c>
      <c r="D647">
        <v>3</v>
      </c>
      <c r="E647">
        <v>85</v>
      </c>
      <c r="F647">
        <v>5</v>
      </c>
      <c r="G647">
        <v>425</v>
      </c>
      <c r="H647">
        <v>99.17</v>
      </c>
      <c r="I647" t="s">
        <v>23</v>
      </c>
      <c r="J647" t="s">
        <v>37</v>
      </c>
    </row>
    <row r="648" spans="1:10" x14ac:dyDescent="0.25">
      <c r="A648" t="s">
        <v>137</v>
      </c>
      <c r="B648" s="1">
        <v>45266</v>
      </c>
      <c r="C648" t="s">
        <v>14</v>
      </c>
      <c r="D648">
        <v>4</v>
      </c>
      <c r="E648">
        <v>75</v>
      </c>
      <c r="F648">
        <v>10</v>
      </c>
      <c r="G648">
        <v>750</v>
      </c>
      <c r="H648">
        <v>100</v>
      </c>
      <c r="I648" t="s">
        <v>23</v>
      </c>
      <c r="J648" t="s">
        <v>37</v>
      </c>
    </row>
    <row r="649" spans="1:10" x14ac:dyDescent="0.25">
      <c r="A649" t="s">
        <v>137</v>
      </c>
      <c r="B649" s="1">
        <v>45266</v>
      </c>
      <c r="C649" t="s">
        <v>49</v>
      </c>
      <c r="D649">
        <v>1</v>
      </c>
      <c r="E649">
        <v>15</v>
      </c>
      <c r="F649">
        <v>20</v>
      </c>
      <c r="G649">
        <v>300</v>
      </c>
      <c r="H649">
        <v>25</v>
      </c>
      <c r="I649" t="s">
        <v>23</v>
      </c>
      <c r="J649" t="s">
        <v>38</v>
      </c>
    </row>
    <row r="650" spans="1:10" x14ac:dyDescent="0.25">
      <c r="A650" t="s">
        <v>137</v>
      </c>
      <c r="B650" s="1">
        <v>45266</v>
      </c>
      <c r="C650" t="s">
        <v>49</v>
      </c>
      <c r="D650">
        <v>2</v>
      </c>
      <c r="E650">
        <v>15</v>
      </c>
      <c r="F650">
        <v>20</v>
      </c>
      <c r="G650">
        <v>300</v>
      </c>
      <c r="H650">
        <v>25</v>
      </c>
      <c r="I650" t="s">
        <v>23</v>
      </c>
      <c r="J650" t="s">
        <v>38</v>
      </c>
    </row>
    <row r="651" spans="1:10" x14ac:dyDescent="0.25">
      <c r="A651" t="s">
        <v>137</v>
      </c>
      <c r="B651" s="1">
        <v>45266</v>
      </c>
      <c r="C651" t="s">
        <v>49</v>
      </c>
      <c r="D651">
        <v>3</v>
      </c>
      <c r="E651">
        <v>15</v>
      </c>
      <c r="F651">
        <v>20</v>
      </c>
      <c r="G651">
        <v>300</v>
      </c>
      <c r="H651">
        <v>25</v>
      </c>
      <c r="I651" t="s">
        <v>23</v>
      </c>
      <c r="J651" t="s">
        <v>38</v>
      </c>
    </row>
    <row r="652" spans="1:10" x14ac:dyDescent="0.25">
      <c r="A652" t="s">
        <v>137</v>
      </c>
      <c r="B652" s="1">
        <v>45266</v>
      </c>
      <c r="C652" t="s">
        <v>49</v>
      </c>
      <c r="D652">
        <v>4</v>
      </c>
      <c r="E652">
        <v>15</v>
      </c>
      <c r="F652">
        <v>15</v>
      </c>
      <c r="G652">
        <v>225</v>
      </c>
      <c r="H652">
        <v>22.5</v>
      </c>
      <c r="I652" t="s">
        <v>23</v>
      </c>
      <c r="J652" t="s">
        <v>38</v>
      </c>
    </row>
    <row r="653" spans="1:10" x14ac:dyDescent="0.25">
      <c r="A653" t="s">
        <v>138</v>
      </c>
      <c r="B653" s="1">
        <v>45268</v>
      </c>
      <c r="C653" t="s">
        <v>17</v>
      </c>
      <c r="D653">
        <v>1</v>
      </c>
      <c r="E653">
        <v>45</v>
      </c>
      <c r="F653">
        <v>15</v>
      </c>
      <c r="G653">
        <v>675</v>
      </c>
      <c r="H653">
        <v>67.5</v>
      </c>
      <c r="I653" t="s">
        <v>22</v>
      </c>
      <c r="J653" t="s">
        <v>37</v>
      </c>
    </row>
    <row r="654" spans="1:10" x14ac:dyDescent="0.25">
      <c r="A654" t="s">
        <v>138</v>
      </c>
      <c r="B654" s="1">
        <v>45268</v>
      </c>
      <c r="C654" t="s">
        <v>17</v>
      </c>
      <c r="D654">
        <v>2</v>
      </c>
      <c r="E654">
        <v>95</v>
      </c>
      <c r="F654">
        <v>12</v>
      </c>
      <c r="G654">
        <v>1140</v>
      </c>
      <c r="H654">
        <v>133</v>
      </c>
      <c r="I654" t="s">
        <v>22</v>
      </c>
      <c r="J654" t="s">
        <v>37</v>
      </c>
    </row>
    <row r="655" spans="1:10" x14ac:dyDescent="0.25">
      <c r="A655" t="s">
        <v>138</v>
      </c>
      <c r="B655" s="1">
        <v>45268</v>
      </c>
      <c r="C655" t="s">
        <v>17</v>
      </c>
      <c r="D655">
        <v>3</v>
      </c>
      <c r="E655">
        <v>140</v>
      </c>
      <c r="F655">
        <v>12</v>
      </c>
      <c r="G655">
        <v>1680</v>
      </c>
      <c r="H655">
        <v>196</v>
      </c>
      <c r="I655" t="s">
        <v>22</v>
      </c>
      <c r="J655" t="s">
        <v>37</v>
      </c>
    </row>
    <row r="656" spans="1:10" x14ac:dyDescent="0.25">
      <c r="A656" t="s">
        <v>138</v>
      </c>
      <c r="B656" s="1">
        <v>45268</v>
      </c>
      <c r="C656" t="s">
        <v>17</v>
      </c>
      <c r="D656">
        <v>4</v>
      </c>
      <c r="E656">
        <v>135</v>
      </c>
      <c r="F656">
        <v>10</v>
      </c>
      <c r="G656">
        <v>1350</v>
      </c>
      <c r="H656">
        <v>180</v>
      </c>
      <c r="I656" t="s">
        <v>22</v>
      </c>
      <c r="J656" t="s">
        <v>37</v>
      </c>
    </row>
    <row r="657" spans="1:10" x14ac:dyDescent="0.25">
      <c r="A657" t="s">
        <v>138</v>
      </c>
      <c r="B657" s="1">
        <v>45268</v>
      </c>
      <c r="C657" t="s">
        <v>17</v>
      </c>
      <c r="D657">
        <v>5</v>
      </c>
      <c r="E657">
        <v>135</v>
      </c>
      <c r="F657">
        <v>8</v>
      </c>
      <c r="G657">
        <v>1080</v>
      </c>
      <c r="H657">
        <v>171</v>
      </c>
      <c r="I657" t="s">
        <v>22</v>
      </c>
      <c r="J657" t="s">
        <v>37</v>
      </c>
    </row>
    <row r="658" spans="1:10" x14ac:dyDescent="0.25">
      <c r="A658" t="s">
        <v>138</v>
      </c>
      <c r="B658" s="1">
        <v>45268</v>
      </c>
      <c r="C658" t="s">
        <v>11</v>
      </c>
      <c r="D658">
        <v>1</v>
      </c>
      <c r="E658">
        <v>185</v>
      </c>
      <c r="F658">
        <v>12</v>
      </c>
      <c r="G658">
        <v>2220</v>
      </c>
      <c r="H658">
        <v>259</v>
      </c>
      <c r="I658" t="s">
        <v>22</v>
      </c>
      <c r="J658" t="s">
        <v>37</v>
      </c>
    </row>
    <row r="659" spans="1:10" x14ac:dyDescent="0.25">
      <c r="A659" t="s">
        <v>138</v>
      </c>
      <c r="B659" s="1">
        <v>45268</v>
      </c>
      <c r="C659" t="s">
        <v>11</v>
      </c>
      <c r="D659">
        <v>2</v>
      </c>
      <c r="E659">
        <v>210</v>
      </c>
      <c r="F659">
        <v>10</v>
      </c>
      <c r="G659">
        <v>2100</v>
      </c>
      <c r="H659">
        <v>280</v>
      </c>
      <c r="I659" t="s">
        <v>22</v>
      </c>
      <c r="J659" t="s">
        <v>37</v>
      </c>
    </row>
    <row r="660" spans="1:10" x14ac:dyDescent="0.25">
      <c r="A660" t="s">
        <v>138</v>
      </c>
      <c r="B660" s="1">
        <v>45268</v>
      </c>
      <c r="C660" t="s">
        <v>11</v>
      </c>
      <c r="D660">
        <v>3</v>
      </c>
      <c r="E660">
        <v>210</v>
      </c>
      <c r="F660">
        <v>10</v>
      </c>
      <c r="G660">
        <v>2100</v>
      </c>
      <c r="H660">
        <v>280</v>
      </c>
      <c r="I660" t="s">
        <v>22</v>
      </c>
      <c r="J660" t="s">
        <v>37</v>
      </c>
    </row>
    <row r="661" spans="1:10" x14ac:dyDescent="0.25">
      <c r="A661" t="s">
        <v>139</v>
      </c>
      <c r="B661" s="1">
        <v>45269</v>
      </c>
      <c r="C661" t="s">
        <v>12</v>
      </c>
      <c r="D661">
        <v>1</v>
      </c>
      <c r="E661">
        <v>45</v>
      </c>
      <c r="F661">
        <v>16</v>
      </c>
      <c r="G661">
        <v>720</v>
      </c>
      <c r="H661">
        <v>69</v>
      </c>
      <c r="I661" t="s">
        <v>23</v>
      </c>
      <c r="J661" t="s">
        <v>37</v>
      </c>
    </row>
    <row r="662" spans="1:10" x14ac:dyDescent="0.25">
      <c r="A662" t="s">
        <v>139</v>
      </c>
      <c r="B662" s="1">
        <v>45269</v>
      </c>
      <c r="C662" t="s">
        <v>12</v>
      </c>
      <c r="D662">
        <v>2</v>
      </c>
      <c r="E662">
        <v>95</v>
      </c>
      <c r="F662">
        <v>12</v>
      </c>
      <c r="G662">
        <v>1140</v>
      </c>
      <c r="H662">
        <v>133</v>
      </c>
      <c r="I662" t="s">
        <v>23</v>
      </c>
      <c r="J662" t="s">
        <v>37</v>
      </c>
    </row>
    <row r="663" spans="1:10" x14ac:dyDescent="0.25">
      <c r="A663" t="s">
        <v>139</v>
      </c>
      <c r="B663" s="1">
        <v>45269</v>
      </c>
      <c r="C663" t="s">
        <v>12</v>
      </c>
      <c r="D663">
        <v>3</v>
      </c>
      <c r="E663">
        <v>145</v>
      </c>
      <c r="F663">
        <v>9</v>
      </c>
      <c r="G663">
        <v>1305</v>
      </c>
      <c r="H663">
        <v>188.5</v>
      </c>
      <c r="I663" t="s">
        <v>23</v>
      </c>
      <c r="J663" t="s">
        <v>37</v>
      </c>
    </row>
    <row r="664" spans="1:10" x14ac:dyDescent="0.25">
      <c r="A664" t="s">
        <v>139</v>
      </c>
      <c r="B664" s="1">
        <v>45269</v>
      </c>
      <c r="C664" t="s">
        <v>12</v>
      </c>
      <c r="D664">
        <v>4</v>
      </c>
      <c r="E664">
        <v>155</v>
      </c>
      <c r="F664">
        <v>5</v>
      </c>
      <c r="G664">
        <v>775</v>
      </c>
      <c r="H664">
        <v>180.83</v>
      </c>
      <c r="I664" t="s">
        <v>23</v>
      </c>
      <c r="J664" t="s">
        <v>37</v>
      </c>
    </row>
    <row r="665" spans="1:10" x14ac:dyDescent="0.25">
      <c r="A665" t="s">
        <v>139</v>
      </c>
      <c r="B665" s="1">
        <v>45269</v>
      </c>
      <c r="C665" t="s">
        <v>12</v>
      </c>
      <c r="D665">
        <v>5</v>
      </c>
      <c r="E665">
        <v>115</v>
      </c>
      <c r="F665">
        <v>15</v>
      </c>
      <c r="G665">
        <v>1725</v>
      </c>
      <c r="H665">
        <v>172.5</v>
      </c>
      <c r="I665" t="s">
        <v>23</v>
      </c>
      <c r="J665" t="s">
        <v>37</v>
      </c>
    </row>
    <row r="666" spans="1:10" x14ac:dyDescent="0.25">
      <c r="A666" t="s">
        <v>139</v>
      </c>
      <c r="B666" s="1">
        <v>45269</v>
      </c>
      <c r="C666" t="s">
        <v>13</v>
      </c>
      <c r="D666">
        <v>1</v>
      </c>
      <c r="E666">
        <v>75</v>
      </c>
      <c r="F666">
        <v>8</v>
      </c>
      <c r="G666">
        <v>600</v>
      </c>
      <c r="H666">
        <v>95</v>
      </c>
      <c r="I666" t="s">
        <v>23</v>
      </c>
      <c r="J666" t="s">
        <v>38</v>
      </c>
    </row>
    <row r="667" spans="1:10" x14ac:dyDescent="0.25">
      <c r="A667" t="s">
        <v>139</v>
      </c>
      <c r="B667" s="1">
        <v>45269</v>
      </c>
      <c r="C667" t="s">
        <v>13</v>
      </c>
      <c r="D667">
        <v>2</v>
      </c>
      <c r="E667">
        <v>70</v>
      </c>
      <c r="F667">
        <v>10</v>
      </c>
      <c r="G667">
        <v>700</v>
      </c>
      <c r="H667">
        <v>93.33</v>
      </c>
      <c r="I667" t="s">
        <v>23</v>
      </c>
      <c r="J667" t="s">
        <v>38</v>
      </c>
    </row>
    <row r="668" spans="1:10" x14ac:dyDescent="0.25">
      <c r="A668" t="s">
        <v>139</v>
      </c>
      <c r="B668" s="1">
        <v>45269</v>
      </c>
      <c r="C668" t="s">
        <v>13</v>
      </c>
      <c r="D668">
        <v>3</v>
      </c>
      <c r="E668">
        <v>70</v>
      </c>
      <c r="F668">
        <v>8</v>
      </c>
      <c r="G668">
        <v>560</v>
      </c>
      <c r="H668">
        <v>88.67</v>
      </c>
      <c r="I668" t="s">
        <v>23</v>
      </c>
      <c r="J668" t="s">
        <v>38</v>
      </c>
    </row>
    <row r="669" spans="1:10" x14ac:dyDescent="0.25">
      <c r="A669" t="s">
        <v>139</v>
      </c>
      <c r="B669" s="1">
        <v>45269</v>
      </c>
      <c r="C669" t="s">
        <v>14</v>
      </c>
      <c r="D669">
        <v>1</v>
      </c>
      <c r="E669">
        <v>45</v>
      </c>
      <c r="F669">
        <v>12</v>
      </c>
      <c r="G669">
        <v>540</v>
      </c>
      <c r="H669">
        <v>63</v>
      </c>
      <c r="I669" t="s">
        <v>23</v>
      </c>
      <c r="J669" t="s">
        <v>37</v>
      </c>
    </row>
    <row r="670" spans="1:10" x14ac:dyDescent="0.25">
      <c r="A670" t="s">
        <v>139</v>
      </c>
      <c r="B670" s="1">
        <v>45269</v>
      </c>
      <c r="C670" t="s">
        <v>14</v>
      </c>
      <c r="D670">
        <v>2</v>
      </c>
      <c r="E670">
        <v>85</v>
      </c>
      <c r="F670">
        <v>8</v>
      </c>
      <c r="G670">
        <v>680</v>
      </c>
      <c r="H670">
        <v>107.67</v>
      </c>
      <c r="I670" t="s">
        <v>23</v>
      </c>
      <c r="J670" t="s">
        <v>37</v>
      </c>
    </row>
    <row r="671" spans="1:10" x14ac:dyDescent="0.25">
      <c r="A671" t="s">
        <v>139</v>
      </c>
      <c r="B671" s="1">
        <v>45269</v>
      </c>
      <c r="C671" t="s">
        <v>14</v>
      </c>
      <c r="D671">
        <v>3</v>
      </c>
      <c r="E671">
        <v>85</v>
      </c>
      <c r="F671">
        <v>7</v>
      </c>
      <c r="G671">
        <v>595</v>
      </c>
      <c r="H671">
        <v>104.83</v>
      </c>
      <c r="I671" t="s">
        <v>23</v>
      </c>
      <c r="J671" t="s">
        <v>37</v>
      </c>
    </row>
    <row r="672" spans="1:10" x14ac:dyDescent="0.25">
      <c r="A672" t="s">
        <v>139</v>
      </c>
      <c r="B672" s="1">
        <v>45269</v>
      </c>
      <c r="C672" t="s">
        <v>14</v>
      </c>
      <c r="D672">
        <v>4</v>
      </c>
      <c r="E672">
        <v>90</v>
      </c>
      <c r="F672">
        <v>5</v>
      </c>
      <c r="G672">
        <v>450</v>
      </c>
      <c r="H672">
        <v>105</v>
      </c>
      <c r="I672" t="s">
        <v>23</v>
      </c>
      <c r="J672" t="s">
        <v>37</v>
      </c>
    </row>
    <row r="673" spans="1:10" x14ac:dyDescent="0.25">
      <c r="A673" t="s">
        <v>139</v>
      </c>
      <c r="B673" s="1">
        <v>45269</v>
      </c>
      <c r="C673" t="s">
        <v>46</v>
      </c>
      <c r="D673">
        <v>1</v>
      </c>
      <c r="E673">
        <v>20</v>
      </c>
      <c r="F673">
        <v>16</v>
      </c>
      <c r="G673">
        <v>320</v>
      </c>
      <c r="H673">
        <v>30.67</v>
      </c>
      <c r="I673" t="s">
        <v>23</v>
      </c>
      <c r="J673" t="s">
        <v>38</v>
      </c>
    </row>
    <row r="674" spans="1:10" x14ac:dyDescent="0.25">
      <c r="A674" t="s">
        <v>139</v>
      </c>
      <c r="B674" s="1">
        <v>45269</v>
      </c>
      <c r="C674" t="s">
        <v>46</v>
      </c>
      <c r="D674">
        <v>2</v>
      </c>
      <c r="E674">
        <v>20</v>
      </c>
      <c r="F674">
        <v>12</v>
      </c>
      <c r="G674">
        <v>240</v>
      </c>
      <c r="H674">
        <v>28</v>
      </c>
      <c r="I674" t="s">
        <v>23</v>
      </c>
      <c r="J674" t="s">
        <v>38</v>
      </c>
    </row>
    <row r="675" spans="1:10" x14ac:dyDescent="0.25">
      <c r="A675" t="s">
        <v>139</v>
      </c>
      <c r="B675" s="1">
        <v>45269</v>
      </c>
      <c r="C675" t="s">
        <v>49</v>
      </c>
      <c r="D675">
        <v>1</v>
      </c>
      <c r="E675">
        <v>10</v>
      </c>
      <c r="F675">
        <v>20</v>
      </c>
      <c r="G675">
        <v>200</v>
      </c>
      <c r="H675">
        <v>16.670000000000002</v>
      </c>
      <c r="I675" t="s">
        <v>23</v>
      </c>
      <c r="J675" t="s">
        <v>38</v>
      </c>
    </row>
    <row r="676" spans="1:10" x14ac:dyDescent="0.25">
      <c r="A676" t="s">
        <v>139</v>
      </c>
      <c r="B676" s="1">
        <v>45269</v>
      </c>
      <c r="C676" t="s">
        <v>49</v>
      </c>
      <c r="D676">
        <v>2</v>
      </c>
      <c r="E676">
        <v>15</v>
      </c>
      <c r="F676">
        <v>20</v>
      </c>
      <c r="G676">
        <v>300</v>
      </c>
      <c r="H676">
        <v>25</v>
      </c>
      <c r="I676" t="s">
        <v>23</v>
      </c>
      <c r="J676" t="s">
        <v>38</v>
      </c>
    </row>
    <row r="677" spans="1:10" x14ac:dyDescent="0.25">
      <c r="A677" t="s">
        <v>139</v>
      </c>
      <c r="B677" s="1">
        <v>45269</v>
      </c>
      <c r="C677" t="s">
        <v>49</v>
      </c>
      <c r="D677">
        <v>3</v>
      </c>
      <c r="E677">
        <v>10</v>
      </c>
      <c r="F677">
        <v>20</v>
      </c>
      <c r="G677">
        <v>200</v>
      </c>
      <c r="H677">
        <v>16.670000000000002</v>
      </c>
      <c r="I677" t="s">
        <v>23</v>
      </c>
      <c r="J677" t="s">
        <v>38</v>
      </c>
    </row>
    <row r="678" spans="1:10" x14ac:dyDescent="0.25">
      <c r="A678" t="s">
        <v>139</v>
      </c>
      <c r="B678" s="1">
        <v>45269</v>
      </c>
      <c r="C678" t="s">
        <v>49</v>
      </c>
      <c r="D678">
        <v>4</v>
      </c>
      <c r="E678">
        <v>15</v>
      </c>
      <c r="F678">
        <v>20</v>
      </c>
      <c r="G678">
        <v>300</v>
      </c>
      <c r="H678">
        <v>25</v>
      </c>
      <c r="I678" t="s">
        <v>23</v>
      </c>
      <c r="J678" t="s">
        <v>38</v>
      </c>
    </row>
    <row r="679" spans="1:10" x14ac:dyDescent="0.25">
      <c r="A679" t="s">
        <v>140</v>
      </c>
      <c r="B679" s="1">
        <v>45270</v>
      </c>
      <c r="C679" t="s">
        <v>9</v>
      </c>
      <c r="D679">
        <v>1</v>
      </c>
      <c r="E679">
        <v>45</v>
      </c>
      <c r="F679">
        <v>15</v>
      </c>
      <c r="G679">
        <v>675</v>
      </c>
      <c r="H679">
        <v>67.5</v>
      </c>
      <c r="I679" t="s">
        <v>21</v>
      </c>
      <c r="J679" t="s">
        <v>37</v>
      </c>
    </row>
    <row r="680" spans="1:10" x14ac:dyDescent="0.25">
      <c r="A680" t="s">
        <v>140</v>
      </c>
      <c r="B680" s="1">
        <v>45270</v>
      </c>
      <c r="C680" t="s">
        <v>9</v>
      </c>
      <c r="D680">
        <v>2</v>
      </c>
      <c r="E680">
        <v>65</v>
      </c>
      <c r="F680">
        <v>15</v>
      </c>
      <c r="G680">
        <v>975</v>
      </c>
      <c r="H680">
        <v>97.5</v>
      </c>
      <c r="I680" t="s">
        <v>21</v>
      </c>
      <c r="J680" t="s">
        <v>37</v>
      </c>
    </row>
    <row r="681" spans="1:10" x14ac:dyDescent="0.25">
      <c r="A681" t="s">
        <v>140</v>
      </c>
      <c r="B681" s="1">
        <v>45270</v>
      </c>
      <c r="C681" t="s">
        <v>9</v>
      </c>
      <c r="D681">
        <v>3</v>
      </c>
      <c r="E681">
        <v>65</v>
      </c>
      <c r="F681">
        <v>15</v>
      </c>
      <c r="G681">
        <v>975</v>
      </c>
      <c r="H681">
        <v>97.5</v>
      </c>
      <c r="I681" t="s">
        <v>21</v>
      </c>
      <c r="J681" t="s">
        <v>37</v>
      </c>
    </row>
    <row r="682" spans="1:10" x14ac:dyDescent="0.25">
      <c r="A682" t="s">
        <v>140</v>
      </c>
      <c r="B682" s="1">
        <v>45270</v>
      </c>
      <c r="C682" t="s">
        <v>9</v>
      </c>
      <c r="D682">
        <v>4</v>
      </c>
      <c r="E682">
        <v>65</v>
      </c>
      <c r="F682">
        <v>15</v>
      </c>
      <c r="G682">
        <v>975</v>
      </c>
      <c r="H682">
        <v>97.5</v>
      </c>
      <c r="I682" t="s">
        <v>21</v>
      </c>
      <c r="J682" t="s">
        <v>37</v>
      </c>
    </row>
    <row r="683" spans="1:10" x14ac:dyDescent="0.25">
      <c r="A683" t="s">
        <v>140</v>
      </c>
      <c r="B683" s="1">
        <v>45270</v>
      </c>
      <c r="C683" t="s">
        <v>10</v>
      </c>
      <c r="D683">
        <v>1</v>
      </c>
      <c r="E683">
        <v>70</v>
      </c>
      <c r="F683">
        <v>12</v>
      </c>
      <c r="G683">
        <v>840</v>
      </c>
      <c r="H683">
        <v>98</v>
      </c>
      <c r="I683" t="s">
        <v>21</v>
      </c>
      <c r="J683" t="s">
        <v>38</v>
      </c>
    </row>
    <row r="684" spans="1:10" x14ac:dyDescent="0.25">
      <c r="A684" t="s">
        <v>140</v>
      </c>
      <c r="B684" s="1">
        <v>45270</v>
      </c>
      <c r="C684" t="s">
        <v>10</v>
      </c>
      <c r="D684">
        <v>2</v>
      </c>
      <c r="E684">
        <v>75</v>
      </c>
      <c r="F684">
        <v>9</v>
      </c>
      <c r="G684">
        <v>675</v>
      </c>
      <c r="H684">
        <v>97.5</v>
      </c>
      <c r="I684" t="s">
        <v>21</v>
      </c>
      <c r="J684" t="s">
        <v>38</v>
      </c>
    </row>
    <row r="685" spans="1:10" x14ac:dyDescent="0.25">
      <c r="A685" t="s">
        <v>140</v>
      </c>
      <c r="B685" s="1">
        <v>45270</v>
      </c>
      <c r="C685" t="s">
        <v>10</v>
      </c>
      <c r="D685">
        <v>3</v>
      </c>
      <c r="E685">
        <v>75</v>
      </c>
      <c r="F685">
        <v>7</v>
      </c>
      <c r="G685">
        <v>525</v>
      </c>
      <c r="H685">
        <v>92.5</v>
      </c>
      <c r="I685" t="s">
        <v>21</v>
      </c>
      <c r="J685" t="s">
        <v>38</v>
      </c>
    </row>
    <row r="686" spans="1:10" x14ac:dyDescent="0.25">
      <c r="A686" t="s">
        <v>140</v>
      </c>
      <c r="B686" s="1">
        <v>45270</v>
      </c>
      <c r="C686" t="s">
        <v>10</v>
      </c>
      <c r="D686">
        <v>4</v>
      </c>
      <c r="E686">
        <v>65</v>
      </c>
      <c r="F686">
        <v>10</v>
      </c>
      <c r="G686">
        <v>650</v>
      </c>
      <c r="H686">
        <v>86.67</v>
      </c>
      <c r="I686" t="s">
        <v>21</v>
      </c>
      <c r="J686" t="s">
        <v>38</v>
      </c>
    </row>
    <row r="687" spans="1:10" x14ac:dyDescent="0.25">
      <c r="A687" t="s">
        <v>140</v>
      </c>
      <c r="B687" s="1">
        <v>45270</v>
      </c>
      <c r="C687" t="s">
        <v>16</v>
      </c>
      <c r="D687">
        <v>1</v>
      </c>
      <c r="E687">
        <v>50</v>
      </c>
      <c r="F687">
        <v>17</v>
      </c>
      <c r="G687">
        <v>850</v>
      </c>
      <c r="H687">
        <v>78.33</v>
      </c>
      <c r="I687" t="s">
        <v>21</v>
      </c>
      <c r="J687" t="s">
        <v>38</v>
      </c>
    </row>
    <row r="688" spans="1:10" x14ac:dyDescent="0.25">
      <c r="A688" t="s">
        <v>140</v>
      </c>
      <c r="B688" s="1">
        <v>45270</v>
      </c>
      <c r="C688" t="s">
        <v>16</v>
      </c>
      <c r="D688">
        <v>2</v>
      </c>
      <c r="E688">
        <v>70</v>
      </c>
      <c r="F688">
        <v>12</v>
      </c>
      <c r="G688">
        <v>840</v>
      </c>
      <c r="H688">
        <v>98</v>
      </c>
      <c r="I688" t="s">
        <v>21</v>
      </c>
      <c r="J688" t="s">
        <v>38</v>
      </c>
    </row>
    <row r="689" spans="1:10" x14ac:dyDescent="0.25">
      <c r="A689" t="s">
        <v>140</v>
      </c>
      <c r="B689" s="1">
        <v>45270</v>
      </c>
      <c r="C689" t="s">
        <v>16</v>
      </c>
      <c r="D689">
        <v>3</v>
      </c>
      <c r="E689">
        <v>90</v>
      </c>
      <c r="F689">
        <v>10</v>
      </c>
      <c r="G689">
        <v>900</v>
      </c>
      <c r="H689">
        <v>120</v>
      </c>
      <c r="I689" t="s">
        <v>21</v>
      </c>
      <c r="J689" t="s">
        <v>38</v>
      </c>
    </row>
    <row r="690" spans="1:10" x14ac:dyDescent="0.25">
      <c r="A690" t="s">
        <v>140</v>
      </c>
      <c r="B690" s="1">
        <v>45270</v>
      </c>
      <c r="C690" t="s">
        <v>19</v>
      </c>
      <c r="D690">
        <v>1</v>
      </c>
      <c r="E690">
        <v>178</v>
      </c>
      <c r="F690">
        <v>10</v>
      </c>
      <c r="G690">
        <v>1780</v>
      </c>
      <c r="H690">
        <v>237.33</v>
      </c>
      <c r="I690" t="s">
        <v>21</v>
      </c>
      <c r="J690" t="s">
        <v>37</v>
      </c>
    </row>
    <row r="691" spans="1:10" x14ac:dyDescent="0.25">
      <c r="A691" t="s">
        <v>140</v>
      </c>
      <c r="B691" s="1">
        <v>45270</v>
      </c>
      <c r="C691" t="s">
        <v>19</v>
      </c>
      <c r="D691">
        <v>2</v>
      </c>
      <c r="E691">
        <v>173</v>
      </c>
      <c r="F691">
        <v>10</v>
      </c>
      <c r="G691">
        <v>1730</v>
      </c>
      <c r="H691">
        <v>230.67</v>
      </c>
      <c r="I691" t="s">
        <v>21</v>
      </c>
      <c r="J691" t="s">
        <v>37</v>
      </c>
    </row>
    <row r="692" spans="1:10" x14ac:dyDescent="0.25">
      <c r="A692" t="s">
        <v>140</v>
      </c>
      <c r="B692" s="1">
        <v>45270</v>
      </c>
      <c r="C692" t="s">
        <v>19</v>
      </c>
      <c r="D692">
        <v>3</v>
      </c>
      <c r="E692">
        <v>178</v>
      </c>
      <c r="F692">
        <v>8</v>
      </c>
      <c r="G692">
        <v>1424</v>
      </c>
      <c r="H692">
        <v>225.47</v>
      </c>
      <c r="I692" t="s">
        <v>21</v>
      </c>
      <c r="J692" t="s">
        <v>37</v>
      </c>
    </row>
    <row r="693" spans="1:10" x14ac:dyDescent="0.25">
      <c r="A693" t="s">
        <v>140</v>
      </c>
      <c r="B693" s="1">
        <v>45270</v>
      </c>
      <c r="C693" t="s">
        <v>19</v>
      </c>
      <c r="D693">
        <v>4</v>
      </c>
      <c r="E693">
        <v>173</v>
      </c>
      <c r="F693">
        <v>10</v>
      </c>
      <c r="G693">
        <v>1730</v>
      </c>
      <c r="H693">
        <v>230.67</v>
      </c>
      <c r="I693" t="s">
        <v>21</v>
      </c>
      <c r="J693" t="s">
        <v>37</v>
      </c>
    </row>
    <row r="694" spans="1:10" x14ac:dyDescent="0.25">
      <c r="A694" t="s">
        <v>140</v>
      </c>
      <c r="B694" s="1">
        <v>45270</v>
      </c>
      <c r="C694" t="s">
        <v>47</v>
      </c>
      <c r="D694">
        <v>1</v>
      </c>
      <c r="E694">
        <v>50</v>
      </c>
      <c r="F694">
        <v>20</v>
      </c>
      <c r="G694">
        <v>1000</v>
      </c>
      <c r="H694">
        <v>83.33</v>
      </c>
      <c r="I694" t="s">
        <v>21</v>
      </c>
      <c r="J694" t="s">
        <v>38</v>
      </c>
    </row>
    <row r="695" spans="1:10" x14ac:dyDescent="0.25">
      <c r="A695" t="s">
        <v>140</v>
      </c>
      <c r="B695" s="1">
        <v>45270</v>
      </c>
      <c r="C695" t="s">
        <v>47</v>
      </c>
      <c r="D695">
        <v>2</v>
      </c>
      <c r="E695">
        <v>60</v>
      </c>
      <c r="F695">
        <v>20</v>
      </c>
      <c r="G695">
        <v>1200</v>
      </c>
      <c r="H695">
        <v>100</v>
      </c>
      <c r="I695" t="s">
        <v>21</v>
      </c>
      <c r="J695" t="s">
        <v>38</v>
      </c>
    </row>
    <row r="696" spans="1:10" x14ac:dyDescent="0.25">
      <c r="A696" t="s">
        <v>140</v>
      </c>
      <c r="B696" s="1">
        <v>45270</v>
      </c>
      <c r="C696" t="s">
        <v>47</v>
      </c>
      <c r="D696">
        <v>3</v>
      </c>
      <c r="E696">
        <v>50</v>
      </c>
      <c r="F696">
        <v>20</v>
      </c>
      <c r="G696">
        <v>1000</v>
      </c>
      <c r="H696">
        <v>83.33</v>
      </c>
      <c r="I696" t="s">
        <v>21</v>
      </c>
      <c r="J696" t="s">
        <v>38</v>
      </c>
    </row>
    <row r="697" spans="1:10" x14ac:dyDescent="0.25">
      <c r="A697" t="s">
        <v>140</v>
      </c>
      <c r="B697" s="1">
        <v>45270</v>
      </c>
      <c r="C697" t="s">
        <v>47</v>
      </c>
      <c r="D697">
        <v>4</v>
      </c>
      <c r="E697">
        <v>50</v>
      </c>
      <c r="F697">
        <v>20</v>
      </c>
      <c r="G697">
        <v>1000</v>
      </c>
      <c r="H697">
        <v>83.33</v>
      </c>
      <c r="I697" t="s">
        <v>21</v>
      </c>
      <c r="J697" t="s">
        <v>38</v>
      </c>
    </row>
    <row r="698" spans="1:10" x14ac:dyDescent="0.25">
      <c r="A698" t="s">
        <v>141</v>
      </c>
      <c r="B698" s="1">
        <v>45272</v>
      </c>
      <c r="C698" t="s">
        <v>17</v>
      </c>
      <c r="D698">
        <v>1</v>
      </c>
      <c r="E698">
        <v>95</v>
      </c>
      <c r="F698">
        <v>12</v>
      </c>
      <c r="G698">
        <v>1140</v>
      </c>
      <c r="H698">
        <v>133</v>
      </c>
      <c r="I698" t="s">
        <v>22</v>
      </c>
      <c r="J698" t="s">
        <v>37</v>
      </c>
    </row>
    <row r="699" spans="1:10" x14ac:dyDescent="0.25">
      <c r="A699" t="s">
        <v>141</v>
      </c>
      <c r="B699" s="1">
        <v>45272</v>
      </c>
      <c r="C699" t="s">
        <v>17</v>
      </c>
      <c r="D699">
        <v>2</v>
      </c>
      <c r="E699">
        <v>145</v>
      </c>
      <c r="F699">
        <v>10</v>
      </c>
      <c r="G699">
        <v>1450</v>
      </c>
      <c r="H699">
        <v>193.33</v>
      </c>
      <c r="I699" t="s">
        <v>22</v>
      </c>
      <c r="J699" t="s">
        <v>37</v>
      </c>
    </row>
    <row r="700" spans="1:10" x14ac:dyDescent="0.25">
      <c r="A700" t="s">
        <v>141</v>
      </c>
      <c r="B700" s="1">
        <v>45272</v>
      </c>
      <c r="C700" t="s">
        <v>17</v>
      </c>
      <c r="D700">
        <v>3</v>
      </c>
      <c r="E700">
        <v>135</v>
      </c>
      <c r="F700">
        <v>12</v>
      </c>
      <c r="G700">
        <v>1620</v>
      </c>
      <c r="H700">
        <v>189</v>
      </c>
      <c r="I700" t="s">
        <v>22</v>
      </c>
      <c r="J700" t="s">
        <v>37</v>
      </c>
    </row>
    <row r="701" spans="1:10" x14ac:dyDescent="0.25">
      <c r="A701" t="s">
        <v>141</v>
      </c>
      <c r="B701" s="1">
        <v>45272</v>
      </c>
      <c r="C701" t="s">
        <v>17</v>
      </c>
      <c r="D701">
        <v>4</v>
      </c>
      <c r="E701">
        <v>135</v>
      </c>
      <c r="F701">
        <v>10</v>
      </c>
      <c r="G701">
        <v>1350</v>
      </c>
      <c r="H701">
        <v>180</v>
      </c>
      <c r="I701" t="s">
        <v>22</v>
      </c>
      <c r="J701" t="s">
        <v>37</v>
      </c>
    </row>
    <row r="702" spans="1:10" x14ac:dyDescent="0.25">
      <c r="A702" t="s">
        <v>141</v>
      </c>
      <c r="B702" s="1">
        <v>45272</v>
      </c>
      <c r="C702" t="s">
        <v>11</v>
      </c>
      <c r="D702">
        <v>1</v>
      </c>
      <c r="E702">
        <v>135</v>
      </c>
      <c r="F702">
        <v>10</v>
      </c>
      <c r="G702">
        <v>1350</v>
      </c>
      <c r="H702">
        <v>180</v>
      </c>
      <c r="I702" t="s">
        <v>22</v>
      </c>
      <c r="J702" t="s">
        <v>37</v>
      </c>
    </row>
    <row r="703" spans="1:10" x14ac:dyDescent="0.25">
      <c r="A703" t="s">
        <v>141</v>
      </c>
      <c r="B703" s="1">
        <v>45272</v>
      </c>
      <c r="C703" t="s">
        <v>11</v>
      </c>
      <c r="D703">
        <v>2</v>
      </c>
      <c r="E703">
        <v>185</v>
      </c>
      <c r="F703">
        <v>10</v>
      </c>
      <c r="G703">
        <v>1850</v>
      </c>
      <c r="H703">
        <v>246.67</v>
      </c>
      <c r="I703" t="s">
        <v>22</v>
      </c>
      <c r="J703" t="s">
        <v>37</v>
      </c>
    </row>
    <row r="704" spans="1:10" x14ac:dyDescent="0.25">
      <c r="A704" t="s">
        <v>141</v>
      </c>
      <c r="B704" s="1">
        <v>45272</v>
      </c>
      <c r="C704" t="s">
        <v>11</v>
      </c>
      <c r="D704">
        <v>3</v>
      </c>
      <c r="E704">
        <v>215</v>
      </c>
      <c r="F704">
        <v>10</v>
      </c>
      <c r="G704">
        <v>2150</v>
      </c>
      <c r="H704">
        <v>286.67</v>
      </c>
      <c r="I704" t="s">
        <v>22</v>
      </c>
      <c r="J704" t="s">
        <v>37</v>
      </c>
    </row>
    <row r="705" spans="1:10" x14ac:dyDescent="0.25">
      <c r="A705" t="s">
        <v>141</v>
      </c>
      <c r="B705" s="1">
        <v>45272</v>
      </c>
      <c r="C705" t="s">
        <v>11</v>
      </c>
      <c r="D705">
        <v>4</v>
      </c>
      <c r="E705">
        <v>215</v>
      </c>
      <c r="F705">
        <v>8</v>
      </c>
      <c r="G705">
        <v>1720</v>
      </c>
      <c r="H705">
        <v>272.33</v>
      </c>
      <c r="I705" t="s">
        <v>22</v>
      </c>
      <c r="J705" t="s">
        <v>37</v>
      </c>
    </row>
    <row r="706" spans="1:10" x14ac:dyDescent="0.25">
      <c r="A706" t="s">
        <v>142</v>
      </c>
      <c r="B706" s="1">
        <v>45273</v>
      </c>
      <c r="C706" t="s">
        <v>12</v>
      </c>
      <c r="D706">
        <v>1</v>
      </c>
      <c r="E706">
        <v>45</v>
      </c>
      <c r="F706">
        <v>17</v>
      </c>
      <c r="G706">
        <v>765</v>
      </c>
      <c r="H706">
        <v>70.5</v>
      </c>
      <c r="I706" t="s">
        <v>23</v>
      </c>
      <c r="J706" t="s">
        <v>37</v>
      </c>
    </row>
    <row r="707" spans="1:10" x14ac:dyDescent="0.25">
      <c r="A707" t="s">
        <v>142</v>
      </c>
      <c r="B707" s="1">
        <v>45273</v>
      </c>
      <c r="C707" t="s">
        <v>12</v>
      </c>
      <c r="D707">
        <v>2</v>
      </c>
      <c r="E707">
        <v>95</v>
      </c>
      <c r="F707">
        <v>12</v>
      </c>
      <c r="G707">
        <v>1140</v>
      </c>
      <c r="H707">
        <v>133</v>
      </c>
      <c r="I707" t="s">
        <v>23</v>
      </c>
      <c r="J707" t="s">
        <v>37</v>
      </c>
    </row>
    <row r="708" spans="1:10" x14ac:dyDescent="0.25">
      <c r="A708" t="s">
        <v>142</v>
      </c>
      <c r="B708" s="1">
        <v>45273</v>
      </c>
      <c r="C708" t="s">
        <v>12</v>
      </c>
      <c r="D708">
        <v>3</v>
      </c>
      <c r="E708">
        <v>145</v>
      </c>
      <c r="F708">
        <v>9</v>
      </c>
      <c r="G708">
        <v>1305</v>
      </c>
      <c r="H708">
        <v>188.5</v>
      </c>
      <c r="I708" t="s">
        <v>23</v>
      </c>
      <c r="J708" t="s">
        <v>37</v>
      </c>
    </row>
    <row r="709" spans="1:10" x14ac:dyDescent="0.25">
      <c r="A709" t="s">
        <v>142</v>
      </c>
      <c r="B709" s="1">
        <v>45273</v>
      </c>
      <c r="C709" t="s">
        <v>12</v>
      </c>
      <c r="D709">
        <v>4</v>
      </c>
      <c r="E709">
        <v>145</v>
      </c>
      <c r="F709">
        <v>8</v>
      </c>
      <c r="G709">
        <v>1160</v>
      </c>
      <c r="H709">
        <v>183.67</v>
      </c>
      <c r="I709" t="s">
        <v>23</v>
      </c>
      <c r="J709" t="s">
        <v>37</v>
      </c>
    </row>
    <row r="710" spans="1:10" x14ac:dyDescent="0.25">
      <c r="A710" t="s">
        <v>142</v>
      </c>
      <c r="B710" s="1">
        <v>45273</v>
      </c>
      <c r="C710" t="s">
        <v>18</v>
      </c>
      <c r="D710">
        <v>1</v>
      </c>
      <c r="E710">
        <v>45</v>
      </c>
      <c r="F710">
        <v>15</v>
      </c>
      <c r="G710">
        <v>675</v>
      </c>
      <c r="H710">
        <v>67.5</v>
      </c>
      <c r="I710" t="s">
        <v>23</v>
      </c>
      <c r="J710" t="s">
        <v>38</v>
      </c>
    </row>
    <row r="711" spans="1:10" x14ac:dyDescent="0.25">
      <c r="A711" t="s">
        <v>142</v>
      </c>
      <c r="B711" s="1">
        <v>45273</v>
      </c>
      <c r="C711" t="s">
        <v>18</v>
      </c>
      <c r="D711">
        <v>2</v>
      </c>
      <c r="E711">
        <v>95</v>
      </c>
      <c r="F711">
        <v>12</v>
      </c>
      <c r="G711">
        <v>1140</v>
      </c>
      <c r="H711">
        <v>133</v>
      </c>
      <c r="I711" t="s">
        <v>23</v>
      </c>
      <c r="J711" t="s">
        <v>38</v>
      </c>
    </row>
    <row r="712" spans="1:10" x14ac:dyDescent="0.25">
      <c r="A712" t="s">
        <v>142</v>
      </c>
      <c r="B712" s="1">
        <v>45273</v>
      </c>
      <c r="C712" t="s">
        <v>13</v>
      </c>
      <c r="D712">
        <v>1</v>
      </c>
      <c r="E712">
        <v>65</v>
      </c>
      <c r="F712">
        <v>12</v>
      </c>
      <c r="G712">
        <v>780</v>
      </c>
      <c r="H712">
        <v>91</v>
      </c>
      <c r="I712" t="s">
        <v>23</v>
      </c>
      <c r="J712" t="s">
        <v>38</v>
      </c>
    </row>
    <row r="713" spans="1:10" x14ac:dyDescent="0.25">
      <c r="A713" t="s">
        <v>142</v>
      </c>
      <c r="B713" s="1">
        <v>45273</v>
      </c>
      <c r="C713" t="s">
        <v>13</v>
      </c>
      <c r="D713">
        <v>2</v>
      </c>
      <c r="E713">
        <v>65</v>
      </c>
      <c r="F713">
        <v>11</v>
      </c>
      <c r="G713">
        <v>715</v>
      </c>
      <c r="H713">
        <v>88.83</v>
      </c>
      <c r="I713" t="s">
        <v>23</v>
      </c>
      <c r="J713" t="s">
        <v>38</v>
      </c>
    </row>
    <row r="714" spans="1:10" x14ac:dyDescent="0.25">
      <c r="A714" t="s">
        <v>142</v>
      </c>
      <c r="B714" s="1">
        <v>45273</v>
      </c>
      <c r="C714" t="s">
        <v>13</v>
      </c>
      <c r="D714">
        <v>3</v>
      </c>
      <c r="E714">
        <v>65</v>
      </c>
      <c r="F714">
        <v>9</v>
      </c>
      <c r="G714">
        <v>585</v>
      </c>
      <c r="H714">
        <v>84.5</v>
      </c>
      <c r="I714" t="s">
        <v>23</v>
      </c>
      <c r="J714" t="s">
        <v>38</v>
      </c>
    </row>
    <row r="715" spans="1:10" x14ac:dyDescent="0.25">
      <c r="A715" t="s">
        <v>142</v>
      </c>
      <c r="B715" s="1">
        <v>45273</v>
      </c>
      <c r="C715" t="s">
        <v>14</v>
      </c>
      <c r="D715">
        <v>1</v>
      </c>
      <c r="E715">
        <v>80</v>
      </c>
      <c r="F715">
        <v>8</v>
      </c>
      <c r="G715">
        <v>640</v>
      </c>
      <c r="H715">
        <v>101.33</v>
      </c>
      <c r="I715" t="s">
        <v>23</v>
      </c>
      <c r="J715" t="s">
        <v>37</v>
      </c>
    </row>
    <row r="716" spans="1:10" x14ac:dyDescent="0.25">
      <c r="A716" t="s">
        <v>142</v>
      </c>
      <c r="B716" s="1">
        <v>45273</v>
      </c>
      <c r="C716" t="s">
        <v>14</v>
      </c>
      <c r="D716">
        <v>2</v>
      </c>
      <c r="E716">
        <v>80</v>
      </c>
      <c r="F716">
        <v>8</v>
      </c>
      <c r="G716">
        <v>640</v>
      </c>
      <c r="H716">
        <v>101.33</v>
      </c>
      <c r="I716" t="s">
        <v>23</v>
      </c>
      <c r="J716" t="s">
        <v>37</v>
      </c>
    </row>
    <row r="717" spans="1:10" x14ac:dyDescent="0.25">
      <c r="A717" t="s">
        <v>142</v>
      </c>
      <c r="B717" s="1">
        <v>45273</v>
      </c>
      <c r="C717" t="s">
        <v>49</v>
      </c>
      <c r="D717">
        <v>1</v>
      </c>
      <c r="E717">
        <v>10</v>
      </c>
      <c r="F717">
        <v>20</v>
      </c>
      <c r="G717">
        <v>200</v>
      </c>
      <c r="H717">
        <v>16.670000000000002</v>
      </c>
      <c r="I717" t="s">
        <v>23</v>
      </c>
      <c r="J717" t="s">
        <v>38</v>
      </c>
    </row>
    <row r="718" spans="1:10" x14ac:dyDescent="0.25">
      <c r="A718" t="s">
        <v>142</v>
      </c>
      <c r="B718" s="1">
        <v>45273</v>
      </c>
      <c r="C718" t="s">
        <v>49</v>
      </c>
      <c r="D718">
        <v>2</v>
      </c>
      <c r="E718">
        <v>15</v>
      </c>
      <c r="F718">
        <v>20</v>
      </c>
      <c r="G718">
        <v>300</v>
      </c>
      <c r="H718">
        <v>25</v>
      </c>
      <c r="I718" t="s">
        <v>23</v>
      </c>
      <c r="J718" t="s">
        <v>38</v>
      </c>
    </row>
    <row r="719" spans="1:10" x14ac:dyDescent="0.25">
      <c r="A719" t="s">
        <v>142</v>
      </c>
      <c r="B719" s="1">
        <v>45273</v>
      </c>
      <c r="C719" t="s">
        <v>49</v>
      </c>
      <c r="D719">
        <v>3</v>
      </c>
      <c r="E719">
        <v>15</v>
      </c>
      <c r="F719">
        <v>20</v>
      </c>
      <c r="G719">
        <v>300</v>
      </c>
      <c r="H719">
        <v>25</v>
      </c>
      <c r="I719" t="s">
        <v>23</v>
      </c>
      <c r="J719" t="s">
        <v>38</v>
      </c>
    </row>
    <row r="720" spans="1:10" x14ac:dyDescent="0.25">
      <c r="A720" t="s">
        <v>142</v>
      </c>
      <c r="B720" s="1">
        <v>45273</v>
      </c>
      <c r="C720" t="s">
        <v>49</v>
      </c>
      <c r="D720">
        <v>4</v>
      </c>
      <c r="E720">
        <v>15</v>
      </c>
      <c r="F720">
        <v>20</v>
      </c>
      <c r="G720">
        <v>300</v>
      </c>
      <c r="H720">
        <v>25</v>
      </c>
      <c r="I720" t="s">
        <v>23</v>
      </c>
      <c r="J720" t="s">
        <v>38</v>
      </c>
    </row>
    <row r="721" spans="1:10" x14ac:dyDescent="0.25">
      <c r="A721" t="s">
        <v>143</v>
      </c>
      <c r="B721" s="1">
        <v>45274</v>
      </c>
      <c r="C721" t="s">
        <v>9</v>
      </c>
      <c r="D721">
        <v>1</v>
      </c>
      <c r="E721">
        <v>65</v>
      </c>
      <c r="F721">
        <v>15</v>
      </c>
      <c r="G721">
        <v>975</v>
      </c>
      <c r="H721">
        <v>97.5</v>
      </c>
      <c r="I721" t="s">
        <v>21</v>
      </c>
      <c r="J721" t="s">
        <v>37</v>
      </c>
    </row>
    <row r="722" spans="1:10" x14ac:dyDescent="0.25">
      <c r="A722" t="s">
        <v>143</v>
      </c>
      <c r="B722" s="1">
        <v>45274</v>
      </c>
      <c r="C722" t="s">
        <v>9</v>
      </c>
      <c r="D722">
        <v>2</v>
      </c>
      <c r="E722">
        <v>70</v>
      </c>
      <c r="F722">
        <v>15</v>
      </c>
      <c r="G722">
        <v>1050</v>
      </c>
      <c r="H722">
        <v>105</v>
      </c>
      <c r="I722" t="s">
        <v>21</v>
      </c>
      <c r="J722" t="s">
        <v>37</v>
      </c>
    </row>
    <row r="723" spans="1:10" x14ac:dyDescent="0.25">
      <c r="A723" t="s">
        <v>143</v>
      </c>
      <c r="B723" s="1">
        <v>45274</v>
      </c>
      <c r="C723" t="s">
        <v>9</v>
      </c>
      <c r="D723">
        <v>3</v>
      </c>
      <c r="E723">
        <v>70</v>
      </c>
      <c r="F723">
        <v>15</v>
      </c>
      <c r="G723">
        <v>1050</v>
      </c>
      <c r="H723">
        <v>105</v>
      </c>
      <c r="I723" t="s">
        <v>21</v>
      </c>
      <c r="J723" t="s">
        <v>37</v>
      </c>
    </row>
    <row r="724" spans="1:10" x14ac:dyDescent="0.25">
      <c r="A724" t="s">
        <v>143</v>
      </c>
      <c r="B724" s="1">
        <v>45274</v>
      </c>
      <c r="C724" t="s">
        <v>10</v>
      </c>
      <c r="D724">
        <v>1</v>
      </c>
      <c r="E724">
        <v>55</v>
      </c>
      <c r="F724">
        <v>15</v>
      </c>
      <c r="G724">
        <v>825</v>
      </c>
      <c r="H724">
        <v>82.5</v>
      </c>
      <c r="I724" t="s">
        <v>21</v>
      </c>
      <c r="J724" t="s">
        <v>38</v>
      </c>
    </row>
    <row r="725" spans="1:10" x14ac:dyDescent="0.25">
      <c r="A725" t="s">
        <v>143</v>
      </c>
      <c r="B725" s="1">
        <v>45274</v>
      </c>
      <c r="C725" t="s">
        <v>10</v>
      </c>
      <c r="D725">
        <v>2</v>
      </c>
      <c r="E725">
        <v>55</v>
      </c>
      <c r="F725">
        <v>15</v>
      </c>
      <c r="G725">
        <v>825</v>
      </c>
      <c r="H725">
        <v>82.5</v>
      </c>
      <c r="I725" t="s">
        <v>21</v>
      </c>
      <c r="J725" t="s">
        <v>38</v>
      </c>
    </row>
    <row r="726" spans="1:10" x14ac:dyDescent="0.25">
      <c r="A726" t="s">
        <v>143</v>
      </c>
      <c r="B726" s="1">
        <v>45274</v>
      </c>
      <c r="C726" t="s">
        <v>10</v>
      </c>
      <c r="D726">
        <v>3</v>
      </c>
      <c r="E726">
        <v>55</v>
      </c>
      <c r="F726">
        <v>12</v>
      </c>
      <c r="G726">
        <v>660</v>
      </c>
      <c r="H726">
        <v>77</v>
      </c>
      <c r="I726" t="s">
        <v>21</v>
      </c>
      <c r="J726" t="s">
        <v>38</v>
      </c>
    </row>
    <row r="727" spans="1:10" x14ac:dyDescent="0.25">
      <c r="A727" t="s">
        <v>143</v>
      </c>
      <c r="B727" s="1">
        <v>45274</v>
      </c>
      <c r="C727" t="s">
        <v>10</v>
      </c>
      <c r="D727">
        <v>4</v>
      </c>
      <c r="E727">
        <v>55</v>
      </c>
      <c r="F727">
        <v>12</v>
      </c>
      <c r="G727">
        <v>660</v>
      </c>
      <c r="H727">
        <v>77</v>
      </c>
      <c r="I727" t="s">
        <v>21</v>
      </c>
      <c r="J727" t="s">
        <v>38</v>
      </c>
    </row>
    <row r="728" spans="1:10" x14ac:dyDescent="0.25">
      <c r="A728" t="s">
        <v>143</v>
      </c>
      <c r="B728" s="1">
        <v>45274</v>
      </c>
      <c r="C728" t="s">
        <v>16</v>
      </c>
      <c r="D728">
        <v>1</v>
      </c>
      <c r="E728">
        <v>50</v>
      </c>
      <c r="F728">
        <v>15</v>
      </c>
      <c r="G728">
        <v>750</v>
      </c>
      <c r="H728">
        <v>75</v>
      </c>
      <c r="I728" t="s">
        <v>21</v>
      </c>
      <c r="J728" t="s">
        <v>38</v>
      </c>
    </row>
    <row r="729" spans="1:10" x14ac:dyDescent="0.25">
      <c r="A729" t="s">
        <v>143</v>
      </c>
      <c r="B729" s="1">
        <v>45274</v>
      </c>
      <c r="C729" t="s">
        <v>16</v>
      </c>
      <c r="D729">
        <v>2</v>
      </c>
      <c r="E729">
        <v>70</v>
      </c>
      <c r="F729">
        <v>15</v>
      </c>
      <c r="G729">
        <v>1050</v>
      </c>
      <c r="H729">
        <v>105</v>
      </c>
      <c r="I729" t="s">
        <v>21</v>
      </c>
      <c r="J729" t="s">
        <v>38</v>
      </c>
    </row>
    <row r="730" spans="1:10" x14ac:dyDescent="0.25">
      <c r="A730" t="s">
        <v>143</v>
      </c>
      <c r="B730" s="1">
        <v>45274</v>
      </c>
      <c r="C730" t="s">
        <v>16</v>
      </c>
      <c r="D730">
        <v>3</v>
      </c>
      <c r="E730">
        <v>70</v>
      </c>
      <c r="F730">
        <v>15</v>
      </c>
      <c r="G730">
        <v>1050</v>
      </c>
      <c r="H730">
        <v>105</v>
      </c>
      <c r="I730" t="s">
        <v>21</v>
      </c>
      <c r="J730" t="s">
        <v>38</v>
      </c>
    </row>
    <row r="731" spans="1:10" x14ac:dyDescent="0.25">
      <c r="A731" t="s">
        <v>143</v>
      </c>
      <c r="B731" s="1">
        <v>45274</v>
      </c>
      <c r="C731" t="s">
        <v>19</v>
      </c>
      <c r="D731">
        <v>1</v>
      </c>
      <c r="E731">
        <v>173</v>
      </c>
      <c r="F731">
        <v>10</v>
      </c>
      <c r="G731">
        <v>1730</v>
      </c>
      <c r="H731">
        <v>230.67</v>
      </c>
      <c r="I731" t="s">
        <v>21</v>
      </c>
      <c r="J731" t="s">
        <v>37</v>
      </c>
    </row>
    <row r="732" spans="1:10" x14ac:dyDescent="0.25">
      <c r="A732" t="s">
        <v>143</v>
      </c>
      <c r="B732" s="1">
        <v>45274</v>
      </c>
      <c r="C732" t="s">
        <v>19</v>
      </c>
      <c r="D732">
        <v>2</v>
      </c>
      <c r="E732">
        <v>178</v>
      </c>
      <c r="F732">
        <v>10</v>
      </c>
      <c r="G732">
        <v>1780</v>
      </c>
      <c r="H732">
        <v>237.33</v>
      </c>
      <c r="I732" t="s">
        <v>21</v>
      </c>
      <c r="J732" t="s">
        <v>37</v>
      </c>
    </row>
    <row r="733" spans="1:10" x14ac:dyDescent="0.25">
      <c r="A733" t="s">
        <v>143</v>
      </c>
      <c r="B733" s="1">
        <v>45274</v>
      </c>
      <c r="C733" t="s">
        <v>19</v>
      </c>
      <c r="D733">
        <v>3</v>
      </c>
      <c r="E733">
        <v>173</v>
      </c>
      <c r="F733">
        <v>11</v>
      </c>
      <c r="G733">
        <v>1903</v>
      </c>
      <c r="H733">
        <v>236.43</v>
      </c>
      <c r="I733" t="s">
        <v>21</v>
      </c>
      <c r="J733" t="s">
        <v>37</v>
      </c>
    </row>
    <row r="734" spans="1:10" x14ac:dyDescent="0.25">
      <c r="A734" t="s">
        <v>143</v>
      </c>
      <c r="B734" s="1">
        <v>45274</v>
      </c>
      <c r="C734" t="s">
        <v>19</v>
      </c>
      <c r="D734">
        <v>4</v>
      </c>
      <c r="E734">
        <v>173</v>
      </c>
      <c r="F734">
        <v>11</v>
      </c>
      <c r="G734">
        <v>1903</v>
      </c>
      <c r="H734">
        <v>236.43</v>
      </c>
      <c r="I734" t="s">
        <v>21</v>
      </c>
      <c r="J734" t="s">
        <v>37</v>
      </c>
    </row>
    <row r="735" spans="1:10" x14ac:dyDescent="0.25">
      <c r="A735" t="s">
        <v>143</v>
      </c>
      <c r="B735" s="1">
        <v>45274</v>
      </c>
      <c r="C735" t="s">
        <v>47</v>
      </c>
      <c r="D735">
        <v>1</v>
      </c>
      <c r="E735">
        <v>50</v>
      </c>
      <c r="F735">
        <v>20</v>
      </c>
      <c r="G735">
        <v>1000</v>
      </c>
      <c r="H735">
        <v>83.33</v>
      </c>
      <c r="I735" t="s">
        <v>21</v>
      </c>
      <c r="J735" t="s">
        <v>38</v>
      </c>
    </row>
    <row r="736" spans="1:10" x14ac:dyDescent="0.25">
      <c r="A736" t="s">
        <v>143</v>
      </c>
      <c r="B736" s="1">
        <v>45274</v>
      </c>
      <c r="C736" t="s">
        <v>47</v>
      </c>
      <c r="D736">
        <v>2</v>
      </c>
      <c r="E736">
        <v>55</v>
      </c>
      <c r="F736">
        <v>20</v>
      </c>
      <c r="G736">
        <v>1100</v>
      </c>
      <c r="H736">
        <v>91.67</v>
      </c>
      <c r="I736" t="s">
        <v>21</v>
      </c>
      <c r="J736" t="s">
        <v>38</v>
      </c>
    </row>
    <row r="737" spans="1:10" x14ac:dyDescent="0.25">
      <c r="A737" t="s">
        <v>143</v>
      </c>
      <c r="B737" s="1">
        <v>45274</v>
      </c>
      <c r="C737" t="s">
        <v>47</v>
      </c>
      <c r="D737">
        <v>3</v>
      </c>
      <c r="E737">
        <v>55</v>
      </c>
      <c r="F737">
        <v>20</v>
      </c>
      <c r="G737">
        <v>1100</v>
      </c>
      <c r="H737">
        <v>91.67</v>
      </c>
      <c r="I737" t="s">
        <v>21</v>
      </c>
      <c r="J737" t="s">
        <v>38</v>
      </c>
    </row>
    <row r="738" spans="1:10" x14ac:dyDescent="0.25">
      <c r="A738" t="s">
        <v>143</v>
      </c>
      <c r="B738" s="1">
        <v>45274</v>
      </c>
      <c r="C738" t="s">
        <v>47</v>
      </c>
      <c r="D738">
        <v>4</v>
      </c>
      <c r="E738">
        <v>55</v>
      </c>
      <c r="F738">
        <v>20</v>
      </c>
      <c r="G738">
        <v>1100</v>
      </c>
      <c r="H738">
        <v>91.67</v>
      </c>
      <c r="I738" t="s">
        <v>21</v>
      </c>
      <c r="J738" t="s">
        <v>38</v>
      </c>
    </row>
    <row r="739" spans="1:10" x14ac:dyDescent="0.25">
      <c r="A739" t="s">
        <v>144</v>
      </c>
      <c r="B739" s="1">
        <v>45275</v>
      </c>
      <c r="C739" t="s">
        <v>61</v>
      </c>
      <c r="D739">
        <v>1</v>
      </c>
      <c r="E739">
        <v>10</v>
      </c>
      <c r="F739">
        <v>20</v>
      </c>
      <c r="G739">
        <v>200</v>
      </c>
      <c r="H739">
        <v>16.670000000000002</v>
      </c>
      <c r="I739" t="s">
        <v>71</v>
      </c>
      <c r="J739" t="s">
        <v>38</v>
      </c>
    </row>
    <row r="740" spans="1:10" x14ac:dyDescent="0.25">
      <c r="A740" t="s">
        <v>144</v>
      </c>
      <c r="B740" s="1">
        <v>45275</v>
      </c>
      <c r="C740" t="s">
        <v>61</v>
      </c>
      <c r="D740">
        <v>2</v>
      </c>
      <c r="E740">
        <v>10</v>
      </c>
      <c r="F740">
        <v>20</v>
      </c>
      <c r="G740">
        <v>200</v>
      </c>
      <c r="H740">
        <v>16.670000000000002</v>
      </c>
      <c r="I740" t="s">
        <v>71</v>
      </c>
      <c r="J740" t="s">
        <v>38</v>
      </c>
    </row>
    <row r="741" spans="1:10" x14ac:dyDescent="0.25">
      <c r="A741" t="s">
        <v>144</v>
      </c>
      <c r="B741" s="1">
        <v>45275</v>
      </c>
      <c r="C741" t="s">
        <v>61</v>
      </c>
      <c r="D741">
        <v>3</v>
      </c>
      <c r="E741">
        <v>45</v>
      </c>
      <c r="F741">
        <v>20</v>
      </c>
      <c r="G741">
        <v>900</v>
      </c>
      <c r="H741">
        <v>75</v>
      </c>
      <c r="I741" t="s">
        <v>71</v>
      </c>
      <c r="J741" t="s">
        <v>38</v>
      </c>
    </row>
    <row r="742" spans="1:10" x14ac:dyDescent="0.25">
      <c r="A742" t="s">
        <v>144</v>
      </c>
      <c r="B742" s="1">
        <v>45275</v>
      </c>
      <c r="C742" t="s">
        <v>62</v>
      </c>
      <c r="D742">
        <v>1</v>
      </c>
      <c r="E742">
        <v>20</v>
      </c>
      <c r="F742">
        <v>20</v>
      </c>
      <c r="G742">
        <v>400</v>
      </c>
      <c r="H742">
        <v>33.33</v>
      </c>
      <c r="I742" t="s">
        <v>71</v>
      </c>
      <c r="J742" t="s">
        <v>38</v>
      </c>
    </row>
    <row r="743" spans="1:10" x14ac:dyDescent="0.25">
      <c r="A743" t="s">
        <v>144</v>
      </c>
      <c r="B743" s="1">
        <v>45275</v>
      </c>
      <c r="C743" t="s">
        <v>62</v>
      </c>
      <c r="D743">
        <v>2</v>
      </c>
      <c r="E743">
        <v>20</v>
      </c>
      <c r="F743">
        <v>20</v>
      </c>
      <c r="G743">
        <v>400</v>
      </c>
      <c r="H743">
        <v>33.33</v>
      </c>
      <c r="I743" t="s">
        <v>71</v>
      </c>
      <c r="J743" t="s">
        <v>38</v>
      </c>
    </row>
    <row r="744" spans="1:10" x14ac:dyDescent="0.25">
      <c r="A744" t="s">
        <v>144</v>
      </c>
      <c r="B744" s="1">
        <v>45275</v>
      </c>
      <c r="C744" t="s">
        <v>63</v>
      </c>
      <c r="D744">
        <v>1</v>
      </c>
      <c r="E744">
        <v>5</v>
      </c>
      <c r="F744">
        <v>20</v>
      </c>
      <c r="G744">
        <v>100</v>
      </c>
      <c r="H744">
        <v>8.33</v>
      </c>
      <c r="I744" t="s">
        <v>71</v>
      </c>
      <c r="J744" t="s">
        <v>38</v>
      </c>
    </row>
    <row r="745" spans="1:10" x14ac:dyDescent="0.25">
      <c r="A745" t="s">
        <v>144</v>
      </c>
      <c r="B745" s="1">
        <v>45275</v>
      </c>
      <c r="C745" t="s">
        <v>63</v>
      </c>
      <c r="D745">
        <v>2</v>
      </c>
      <c r="E745">
        <v>5</v>
      </c>
      <c r="F745">
        <v>20</v>
      </c>
      <c r="G745">
        <v>100</v>
      </c>
      <c r="H745">
        <v>8.33</v>
      </c>
      <c r="I745" t="s">
        <v>71</v>
      </c>
      <c r="J745" t="s">
        <v>38</v>
      </c>
    </row>
    <row r="746" spans="1:10" x14ac:dyDescent="0.25">
      <c r="A746" t="s">
        <v>145</v>
      </c>
      <c r="B746" s="1">
        <v>45277</v>
      </c>
      <c r="C746" t="s">
        <v>12</v>
      </c>
      <c r="D746">
        <v>1</v>
      </c>
      <c r="E746">
        <v>45</v>
      </c>
      <c r="F746">
        <v>16</v>
      </c>
      <c r="G746">
        <v>720</v>
      </c>
      <c r="H746">
        <v>69</v>
      </c>
      <c r="I746" t="s">
        <v>23</v>
      </c>
      <c r="J746" t="s">
        <v>37</v>
      </c>
    </row>
    <row r="747" spans="1:10" x14ac:dyDescent="0.25">
      <c r="A747" t="s">
        <v>145</v>
      </c>
      <c r="B747" s="1">
        <v>45277</v>
      </c>
      <c r="C747" t="s">
        <v>12</v>
      </c>
      <c r="D747">
        <v>2</v>
      </c>
      <c r="E747">
        <v>95</v>
      </c>
      <c r="F747">
        <v>12</v>
      </c>
      <c r="G747">
        <v>1140</v>
      </c>
      <c r="H747">
        <v>133</v>
      </c>
      <c r="I747" t="s">
        <v>23</v>
      </c>
      <c r="J747" t="s">
        <v>37</v>
      </c>
    </row>
    <row r="748" spans="1:10" x14ac:dyDescent="0.25">
      <c r="A748" t="s">
        <v>145</v>
      </c>
      <c r="B748" s="1">
        <v>45277</v>
      </c>
      <c r="C748" t="s">
        <v>12</v>
      </c>
      <c r="D748">
        <v>3</v>
      </c>
      <c r="E748">
        <v>135</v>
      </c>
      <c r="F748">
        <v>10</v>
      </c>
      <c r="G748">
        <v>1350</v>
      </c>
      <c r="H748">
        <v>180</v>
      </c>
      <c r="I748" t="s">
        <v>23</v>
      </c>
      <c r="J748" t="s">
        <v>37</v>
      </c>
    </row>
    <row r="749" spans="1:10" x14ac:dyDescent="0.25">
      <c r="A749" t="s">
        <v>145</v>
      </c>
      <c r="B749" s="1">
        <v>45277</v>
      </c>
      <c r="C749" t="s">
        <v>12</v>
      </c>
      <c r="D749">
        <v>4</v>
      </c>
      <c r="E749">
        <v>135</v>
      </c>
      <c r="F749">
        <v>10</v>
      </c>
      <c r="G749">
        <v>1350</v>
      </c>
      <c r="H749">
        <v>180</v>
      </c>
      <c r="I749" t="s">
        <v>23</v>
      </c>
      <c r="J749" t="s">
        <v>37</v>
      </c>
    </row>
    <row r="750" spans="1:10" x14ac:dyDescent="0.25">
      <c r="A750" t="s">
        <v>145</v>
      </c>
      <c r="B750" s="1">
        <v>45277</v>
      </c>
      <c r="C750" t="s">
        <v>18</v>
      </c>
      <c r="D750">
        <v>1</v>
      </c>
      <c r="E750">
        <v>45</v>
      </c>
      <c r="F750">
        <v>15</v>
      </c>
      <c r="G750">
        <v>675</v>
      </c>
      <c r="H750">
        <v>67.5</v>
      </c>
      <c r="I750" t="s">
        <v>23</v>
      </c>
      <c r="J750" t="s">
        <v>38</v>
      </c>
    </row>
    <row r="751" spans="1:10" x14ac:dyDescent="0.25">
      <c r="A751" t="s">
        <v>145</v>
      </c>
      <c r="B751" s="1">
        <v>45277</v>
      </c>
      <c r="C751" t="s">
        <v>18</v>
      </c>
      <c r="D751">
        <v>2</v>
      </c>
      <c r="E751">
        <v>45</v>
      </c>
      <c r="F751">
        <v>15</v>
      </c>
      <c r="G751">
        <v>675</v>
      </c>
      <c r="H751">
        <v>67.5</v>
      </c>
      <c r="I751" t="s">
        <v>23</v>
      </c>
      <c r="J751" t="s">
        <v>38</v>
      </c>
    </row>
    <row r="752" spans="1:10" x14ac:dyDescent="0.25">
      <c r="A752" t="s">
        <v>145</v>
      </c>
      <c r="B752" s="1">
        <v>45277</v>
      </c>
      <c r="C752" t="s">
        <v>18</v>
      </c>
      <c r="D752">
        <v>3</v>
      </c>
      <c r="E752">
        <v>95</v>
      </c>
      <c r="F752">
        <v>12</v>
      </c>
      <c r="G752">
        <v>1140</v>
      </c>
      <c r="H752">
        <v>133</v>
      </c>
      <c r="I752" t="s">
        <v>23</v>
      </c>
      <c r="J752" t="s">
        <v>38</v>
      </c>
    </row>
    <row r="753" spans="1:10" x14ac:dyDescent="0.25">
      <c r="A753" t="s">
        <v>145</v>
      </c>
      <c r="B753" s="1">
        <v>45277</v>
      </c>
      <c r="C753" t="s">
        <v>18</v>
      </c>
      <c r="D753">
        <v>4</v>
      </c>
      <c r="E753">
        <v>95</v>
      </c>
      <c r="F753">
        <v>12</v>
      </c>
      <c r="G753">
        <v>1140</v>
      </c>
      <c r="H753">
        <v>133</v>
      </c>
      <c r="I753" t="s">
        <v>23</v>
      </c>
      <c r="J753" t="s">
        <v>38</v>
      </c>
    </row>
    <row r="754" spans="1:10" x14ac:dyDescent="0.25">
      <c r="A754" t="s">
        <v>145</v>
      </c>
      <c r="B754" s="1">
        <v>45277</v>
      </c>
      <c r="C754" t="s">
        <v>13</v>
      </c>
      <c r="D754">
        <v>1</v>
      </c>
      <c r="E754">
        <v>65</v>
      </c>
      <c r="F754">
        <v>12</v>
      </c>
      <c r="G754">
        <v>780</v>
      </c>
      <c r="H754">
        <v>91</v>
      </c>
      <c r="I754" t="s">
        <v>23</v>
      </c>
      <c r="J754" t="s">
        <v>38</v>
      </c>
    </row>
    <row r="755" spans="1:10" x14ac:dyDescent="0.25">
      <c r="A755" t="s">
        <v>145</v>
      </c>
      <c r="B755" s="1">
        <v>45277</v>
      </c>
      <c r="C755" t="s">
        <v>13</v>
      </c>
      <c r="D755">
        <v>2</v>
      </c>
      <c r="E755">
        <v>65</v>
      </c>
      <c r="F755">
        <v>10</v>
      </c>
      <c r="G755">
        <v>650</v>
      </c>
      <c r="H755">
        <v>86.67</v>
      </c>
      <c r="I755" t="s">
        <v>23</v>
      </c>
      <c r="J755" t="s">
        <v>38</v>
      </c>
    </row>
    <row r="756" spans="1:10" x14ac:dyDescent="0.25">
      <c r="A756" t="s">
        <v>145</v>
      </c>
      <c r="B756" s="1">
        <v>45277</v>
      </c>
      <c r="C756" t="s">
        <v>13</v>
      </c>
      <c r="D756">
        <v>3</v>
      </c>
      <c r="E756">
        <v>65</v>
      </c>
      <c r="F756">
        <v>7</v>
      </c>
      <c r="G756">
        <v>455</v>
      </c>
      <c r="H756">
        <v>80.17</v>
      </c>
      <c r="I756" t="s">
        <v>23</v>
      </c>
      <c r="J756" t="s">
        <v>38</v>
      </c>
    </row>
    <row r="757" spans="1:10" x14ac:dyDescent="0.25">
      <c r="A757" t="s">
        <v>145</v>
      </c>
      <c r="B757" s="1">
        <v>45277</v>
      </c>
      <c r="C757" t="s">
        <v>14</v>
      </c>
      <c r="D757">
        <v>1</v>
      </c>
      <c r="E757">
        <v>85</v>
      </c>
      <c r="F757">
        <v>7</v>
      </c>
      <c r="G757">
        <v>595</v>
      </c>
      <c r="H757">
        <v>104.83</v>
      </c>
      <c r="I757" t="s">
        <v>23</v>
      </c>
      <c r="J757" t="s">
        <v>37</v>
      </c>
    </row>
    <row r="758" spans="1:10" x14ac:dyDescent="0.25">
      <c r="A758" t="s">
        <v>145</v>
      </c>
      <c r="B758" s="1">
        <v>45277</v>
      </c>
      <c r="C758" t="s">
        <v>14</v>
      </c>
      <c r="D758">
        <v>2</v>
      </c>
      <c r="E758">
        <v>70</v>
      </c>
      <c r="F758">
        <v>10</v>
      </c>
      <c r="G758">
        <v>700</v>
      </c>
      <c r="H758">
        <v>93.33</v>
      </c>
      <c r="I758" t="s">
        <v>23</v>
      </c>
      <c r="J758" t="s">
        <v>37</v>
      </c>
    </row>
    <row r="759" spans="1:10" x14ac:dyDescent="0.25">
      <c r="A759" t="s">
        <v>145</v>
      </c>
      <c r="B759" s="1">
        <v>45277</v>
      </c>
      <c r="C759" t="s">
        <v>14</v>
      </c>
      <c r="D759">
        <v>3</v>
      </c>
      <c r="E759">
        <v>70</v>
      </c>
      <c r="F759">
        <v>7</v>
      </c>
      <c r="G759">
        <v>490</v>
      </c>
      <c r="H759">
        <v>86.33</v>
      </c>
      <c r="I759" t="s">
        <v>23</v>
      </c>
      <c r="J759" t="s">
        <v>37</v>
      </c>
    </row>
    <row r="760" spans="1:10" x14ac:dyDescent="0.25">
      <c r="A760" t="s">
        <v>145</v>
      </c>
      <c r="B760" s="1">
        <v>45277</v>
      </c>
      <c r="C760" t="s">
        <v>64</v>
      </c>
      <c r="D760">
        <v>1</v>
      </c>
      <c r="E760">
        <v>2</v>
      </c>
      <c r="F760">
        <v>20</v>
      </c>
      <c r="G760">
        <v>40</v>
      </c>
      <c r="H760">
        <v>3.33</v>
      </c>
      <c r="I760" t="s">
        <v>23</v>
      </c>
      <c r="J760" t="s">
        <v>38</v>
      </c>
    </row>
    <row r="761" spans="1:10" x14ac:dyDescent="0.25">
      <c r="A761" t="s">
        <v>145</v>
      </c>
      <c r="B761" s="1">
        <v>45277</v>
      </c>
      <c r="C761" t="s">
        <v>49</v>
      </c>
      <c r="D761">
        <v>1</v>
      </c>
      <c r="E761">
        <v>15</v>
      </c>
      <c r="F761">
        <v>20</v>
      </c>
      <c r="G761">
        <v>300</v>
      </c>
      <c r="H761">
        <v>25</v>
      </c>
      <c r="I761" t="s">
        <v>23</v>
      </c>
      <c r="J761" t="s">
        <v>38</v>
      </c>
    </row>
    <row r="762" spans="1:10" x14ac:dyDescent="0.25">
      <c r="A762" t="s">
        <v>145</v>
      </c>
      <c r="B762" s="1">
        <v>45277</v>
      </c>
      <c r="C762" t="s">
        <v>49</v>
      </c>
      <c r="D762">
        <v>2</v>
      </c>
      <c r="E762">
        <v>15</v>
      </c>
      <c r="F762">
        <v>20</v>
      </c>
      <c r="G762">
        <v>300</v>
      </c>
      <c r="H762">
        <v>25</v>
      </c>
      <c r="I762" t="s">
        <v>23</v>
      </c>
      <c r="J762" t="s">
        <v>38</v>
      </c>
    </row>
    <row r="763" spans="1:10" x14ac:dyDescent="0.25">
      <c r="A763" t="s">
        <v>145</v>
      </c>
      <c r="B763" s="1">
        <v>45277</v>
      </c>
      <c r="C763" t="s">
        <v>49</v>
      </c>
      <c r="D763">
        <v>3</v>
      </c>
      <c r="E763">
        <v>15</v>
      </c>
      <c r="F763">
        <v>20</v>
      </c>
      <c r="G763">
        <v>300</v>
      </c>
      <c r="H763">
        <v>25</v>
      </c>
      <c r="I763" t="s">
        <v>23</v>
      </c>
      <c r="J763" t="s">
        <v>38</v>
      </c>
    </row>
    <row r="764" spans="1:10" x14ac:dyDescent="0.25">
      <c r="A764" t="s">
        <v>145</v>
      </c>
      <c r="B764" s="1">
        <v>45277</v>
      </c>
      <c r="C764" t="s">
        <v>49</v>
      </c>
      <c r="D764">
        <v>4</v>
      </c>
      <c r="E764">
        <v>15</v>
      </c>
      <c r="F764">
        <v>20</v>
      </c>
      <c r="G764">
        <v>300</v>
      </c>
      <c r="H764">
        <v>25</v>
      </c>
      <c r="I764" t="s">
        <v>23</v>
      </c>
      <c r="J764" t="s">
        <v>38</v>
      </c>
    </row>
    <row r="765" spans="1:10" x14ac:dyDescent="0.25">
      <c r="A765" t="s">
        <v>146</v>
      </c>
      <c r="B765" s="1">
        <v>45278</v>
      </c>
      <c r="C765" t="s">
        <v>9</v>
      </c>
      <c r="D765">
        <v>1</v>
      </c>
      <c r="E765">
        <v>70</v>
      </c>
      <c r="F765">
        <v>15</v>
      </c>
      <c r="G765">
        <v>1050</v>
      </c>
      <c r="H765">
        <v>105</v>
      </c>
      <c r="I765" t="s">
        <v>21</v>
      </c>
      <c r="J765" t="s">
        <v>37</v>
      </c>
    </row>
    <row r="766" spans="1:10" x14ac:dyDescent="0.25">
      <c r="A766" t="s">
        <v>146</v>
      </c>
      <c r="B766" s="1">
        <v>45278</v>
      </c>
      <c r="C766" t="s">
        <v>9</v>
      </c>
      <c r="D766">
        <v>2</v>
      </c>
      <c r="E766">
        <v>70</v>
      </c>
      <c r="F766">
        <v>15</v>
      </c>
      <c r="G766">
        <v>1050</v>
      </c>
      <c r="H766">
        <v>105</v>
      </c>
      <c r="I766" t="s">
        <v>21</v>
      </c>
      <c r="J766" t="s">
        <v>37</v>
      </c>
    </row>
    <row r="767" spans="1:10" x14ac:dyDescent="0.25">
      <c r="A767" t="s">
        <v>146</v>
      </c>
      <c r="B767" s="1">
        <v>45278</v>
      </c>
      <c r="C767" t="s">
        <v>9</v>
      </c>
      <c r="D767">
        <v>3</v>
      </c>
      <c r="E767">
        <v>70</v>
      </c>
      <c r="F767">
        <v>15</v>
      </c>
      <c r="G767">
        <v>1050</v>
      </c>
      <c r="H767">
        <v>105</v>
      </c>
      <c r="I767" t="s">
        <v>21</v>
      </c>
      <c r="J767" t="s">
        <v>37</v>
      </c>
    </row>
    <row r="768" spans="1:10" x14ac:dyDescent="0.25">
      <c r="A768" t="s">
        <v>146</v>
      </c>
      <c r="B768" s="1">
        <v>45278</v>
      </c>
      <c r="C768" t="s">
        <v>10</v>
      </c>
      <c r="D768">
        <v>1</v>
      </c>
      <c r="E768">
        <v>55</v>
      </c>
      <c r="F768">
        <v>15</v>
      </c>
      <c r="G768">
        <v>825</v>
      </c>
      <c r="H768">
        <v>82.5</v>
      </c>
      <c r="I768" t="s">
        <v>21</v>
      </c>
      <c r="J768" t="s">
        <v>38</v>
      </c>
    </row>
    <row r="769" spans="1:10" x14ac:dyDescent="0.25">
      <c r="A769" t="s">
        <v>146</v>
      </c>
      <c r="B769" s="1">
        <v>45278</v>
      </c>
      <c r="C769" t="s">
        <v>10</v>
      </c>
      <c r="D769">
        <v>2</v>
      </c>
      <c r="E769">
        <v>55</v>
      </c>
      <c r="F769">
        <v>15</v>
      </c>
      <c r="G769">
        <v>825</v>
      </c>
      <c r="H769">
        <v>82.5</v>
      </c>
      <c r="I769" t="s">
        <v>21</v>
      </c>
      <c r="J769" t="s">
        <v>38</v>
      </c>
    </row>
    <row r="770" spans="1:10" x14ac:dyDescent="0.25">
      <c r="A770" t="s">
        <v>146</v>
      </c>
      <c r="B770" s="1">
        <v>45278</v>
      </c>
      <c r="C770" t="s">
        <v>10</v>
      </c>
      <c r="D770">
        <v>3</v>
      </c>
      <c r="E770">
        <v>60</v>
      </c>
      <c r="F770">
        <v>15</v>
      </c>
      <c r="G770">
        <v>900</v>
      </c>
      <c r="H770">
        <v>90</v>
      </c>
      <c r="I770" t="s">
        <v>21</v>
      </c>
      <c r="J770" t="s">
        <v>38</v>
      </c>
    </row>
    <row r="771" spans="1:10" x14ac:dyDescent="0.25">
      <c r="A771" t="s">
        <v>146</v>
      </c>
      <c r="B771" s="1">
        <v>45278</v>
      </c>
      <c r="C771" t="s">
        <v>16</v>
      </c>
      <c r="D771">
        <v>1</v>
      </c>
      <c r="E771">
        <v>50</v>
      </c>
      <c r="F771">
        <v>15</v>
      </c>
      <c r="G771">
        <v>750</v>
      </c>
      <c r="H771">
        <v>75</v>
      </c>
      <c r="I771" t="s">
        <v>21</v>
      </c>
      <c r="J771" t="s">
        <v>38</v>
      </c>
    </row>
    <row r="772" spans="1:10" x14ac:dyDescent="0.25">
      <c r="A772" t="s">
        <v>146</v>
      </c>
      <c r="B772" s="1">
        <v>45278</v>
      </c>
      <c r="C772" t="s">
        <v>16</v>
      </c>
      <c r="D772">
        <v>2</v>
      </c>
      <c r="E772">
        <v>70</v>
      </c>
      <c r="F772">
        <v>15</v>
      </c>
      <c r="G772">
        <v>1050</v>
      </c>
      <c r="H772">
        <v>105</v>
      </c>
      <c r="I772" t="s">
        <v>21</v>
      </c>
      <c r="J772" t="s">
        <v>38</v>
      </c>
    </row>
    <row r="773" spans="1:10" x14ac:dyDescent="0.25">
      <c r="A773" t="s">
        <v>146</v>
      </c>
      <c r="B773" s="1">
        <v>45278</v>
      </c>
      <c r="C773" t="s">
        <v>16</v>
      </c>
      <c r="D773">
        <v>3</v>
      </c>
      <c r="E773">
        <v>50</v>
      </c>
      <c r="F773">
        <v>15</v>
      </c>
      <c r="G773">
        <v>750</v>
      </c>
      <c r="H773">
        <v>75</v>
      </c>
      <c r="I773" t="s">
        <v>21</v>
      </c>
      <c r="J773" t="s">
        <v>38</v>
      </c>
    </row>
    <row r="774" spans="1:10" x14ac:dyDescent="0.25">
      <c r="A774" t="s">
        <v>146</v>
      </c>
      <c r="B774" s="1">
        <v>45278</v>
      </c>
      <c r="C774" t="s">
        <v>19</v>
      </c>
      <c r="D774">
        <v>1</v>
      </c>
      <c r="E774">
        <v>174</v>
      </c>
      <c r="F774">
        <v>10</v>
      </c>
      <c r="G774">
        <v>1740</v>
      </c>
      <c r="H774">
        <v>232</v>
      </c>
      <c r="I774" t="s">
        <v>21</v>
      </c>
      <c r="J774" t="s">
        <v>37</v>
      </c>
    </row>
    <row r="775" spans="1:10" x14ac:dyDescent="0.25">
      <c r="A775" t="s">
        <v>146</v>
      </c>
      <c r="B775" s="1">
        <v>45278</v>
      </c>
      <c r="C775" t="s">
        <v>19</v>
      </c>
      <c r="D775">
        <v>2</v>
      </c>
      <c r="E775">
        <v>179</v>
      </c>
      <c r="F775">
        <v>10</v>
      </c>
      <c r="G775">
        <v>1790</v>
      </c>
      <c r="H775">
        <v>238.67</v>
      </c>
      <c r="I775" t="s">
        <v>21</v>
      </c>
      <c r="J775" t="s">
        <v>37</v>
      </c>
    </row>
    <row r="776" spans="1:10" x14ac:dyDescent="0.25">
      <c r="A776" t="s">
        <v>146</v>
      </c>
      <c r="B776" s="1">
        <v>45278</v>
      </c>
      <c r="C776" t="s">
        <v>19</v>
      </c>
      <c r="D776">
        <v>3</v>
      </c>
      <c r="E776">
        <v>179</v>
      </c>
      <c r="F776">
        <v>10</v>
      </c>
      <c r="G776">
        <v>1790</v>
      </c>
      <c r="H776">
        <v>238.67</v>
      </c>
      <c r="I776" t="s">
        <v>21</v>
      </c>
      <c r="J776" t="s">
        <v>37</v>
      </c>
    </row>
    <row r="777" spans="1:10" x14ac:dyDescent="0.25">
      <c r="A777" t="s">
        <v>146</v>
      </c>
      <c r="B777" s="1">
        <v>45278</v>
      </c>
      <c r="C777" t="s">
        <v>19</v>
      </c>
      <c r="D777">
        <v>4</v>
      </c>
      <c r="E777">
        <v>174</v>
      </c>
      <c r="F777">
        <v>10</v>
      </c>
      <c r="G777">
        <v>1740</v>
      </c>
      <c r="H777">
        <v>232</v>
      </c>
      <c r="I777" t="s">
        <v>21</v>
      </c>
      <c r="J777" t="s">
        <v>37</v>
      </c>
    </row>
    <row r="778" spans="1:10" x14ac:dyDescent="0.25">
      <c r="A778" t="s">
        <v>146</v>
      </c>
      <c r="B778" s="1">
        <v>45278</v>
      </c>
      <c r="C778" t="s">
        <v>47</v>
      </c>
      <c r="D778">
        <v>1</v>
      </c>
      <c r="E778">
        <v>50</v>
      </c>
      <c r="F778">
        <v>20</v>
      </c>
      <c r="G778">
        <v>1000</v>
      </c>
      <c r="H778">
        <v>83.33</v>
      </c>
      <c r="I778" t="s">
        <v>21</v>
      </c>
      <c r="J778" t="s">
        <v>38</v>
      </c>
    </row>
    <row r="779" spans="1:10" x14ac:dyDescent="0.25">
      <c r="A779" t="s">
        <v>146</v>
      </c>
      <c r="B779" s="1">
        <v>45278</v>
      </c>
      <c r="C779" t="s">
        <v>47</v>
      </c>
      <c r="D779">
        <v>2</v>
      </c>
      <c r="E779">
        <v>50</v>
      </c>
      <c r="F779">
        <v>20</v>
      </c>
      <c r="G779">
        <v>1000</v>
      </c>
      <c r="H779">
        <v>83.33</v>
      </c>
      <c r="I779" t="s">
        <v>21</v>
      </c>
      <c r="J779" t="s">
        <v>38</v>
      </c>
    </row>
    <row r="780" spans="1:10" x14ac:dyDescent="0.25">
      <c r="A780" t="s">
        <v>146</v>
      </c>
      <c r="B780" s="1">
        <v>45278</v>
      </c>
      <c r="C780" t="s">
        <v>47</v>
      </c>
      <c r="D780">
        <v>3</v>
      </c>
      <c r="E780">
        <v>50</v>
      </c>
      <c r="F780">
        <v>20</v>
      </c>
      <c r="G780">
        <v>1000</v>
      </c>
      <c r="H780">
        <v>83.33</v>
      </c>
      <c r="I780" t="s">
        <v>21</v>
      </c>
      <c r="J780" t="s">
        <v>38</v>
      </c>
    </row>
    <row r="781" spans="1:10" x14ac:dyDescent="0.25">
      <c r="A781" t="s">
        <v>146</v>
      </c>
      <c r="B781" s="1">
        <v>45278</v>
      </c>
      <c r="C781" t="s">
        <v>65</v>
      </c>
      <c r="D781">
        <v>1</v>
      </c>
      <c r="E781">
        <v>10</v>
      </c>
      <c r="F781">
        <v>20</v>
      </c>
      <c r="G781">
        <v>200</v>
      </c>
      <c r="H781">
        <v>16.670000000000002</v>
      </c>
      <c r="I781" t="s">
        <v>21</v>
      </c>
      <c r="J781" t="s">
        <v>38</v>
      </c>
    </row>
    <row r="782" spans="1:10" x14ac:dyDescent="0.25">
      <c r="A782" t="s">
        <v>146</v>
      </c>
      <c r="B782" s="1">
        <v>45278</v>
      </c>
      <c r="C782" t="s">
        <v>65</v>
      </c>
      <c r="D782">
        <v>2</v>
      </c>
      <c r="E782">
        <v>1</v>
      </c>
      <c r="F782">
        <v>20</v>
      </c>
      <c r="G782">
        <v>20</v>
      </c>
      <c r="H782">
        <v>1.67</v>
      </c>
      <c r="I782" t="s">
        <v>21</v>
      </c>
      <c r="J782" t="s">
        <v>38</v>
      </c>
    </row>
    <row r="783" spans="1:10" x14ac:dyDescent="0.25">
      <c r="A783" t="s">
        <v>146</v>
      </c>
      <c r="B783" s="1">
        <v>45278</v>
      </c>
      <c r="C783" t="s">
        <v>65</v>
      </c>
      <c r="D783">
        <v>3</v>
      </c>
      <c r="E783">
        <v>5</v>
      </c>
      <c r="F783">
        <v>10</v>
      </c>
      <c r="G783">
        <v>50</v>
      </c>
      <c r="H783">
        <v>6.67</v>
      </c>
      <c r="I783" t="s">
        <v>21</v>
      </c>
      <c r="J783" t="s">
        <v>38</v>
      </c>
    </row>
    <row r="784" spans="1:10" x14ac:dyDescent="0.25">
      <c r="A784" t="s">
        <v>147</v>
      </c>
      <c r="B784" s="1">
        <v>45280</v>
      </c>
      <c r="C784" t="s">
        <v>17</v>
      </c>
      <c r="D784">
        <v>1</v>
      </c>
      <c r="E784">
        <v>95</v>
      </c>
      <c r="F784">
        <v>12</v>
      </c>
      <c r="G784">
        <v>1140</v>
      </c>
      <c r="H784">
        <v>133</v>
      </c>
      <c r="I784" t="s">
        <v>22</v>
      </c>
      <c r="J784" t="s">
        <v>37</v>
      </c>
    </row>
    <row r="785" spans="1:10" x14ac:dyDescent="0.25">
      <c r="A785" t="s">
        <v>147</v>
      </c>
      <c r="B785" s="1">
        <v>45280</v>
      </c>
      <c r="C785" t="s">
        <v>17</v>
      </c>
      <c r="D785">
        <v>2</v>
      </c>
      <c r="E785">
        <v>135</v>
      </c>
      <c r="F785">
        <v>12</v>
      </c>
      <c r="G785">
        <v>1620</v>
      </c>
      <c r="H785">
        <v>189</v>
      </c>
      <c r="I785" t="s">
        <v>22</v>
      </c>
      <c r="J785" t="s">
        <v>37</v>
      </c>
    </row>
    <row r="786" spans="1:10" x14ac:dyDescent="0.25">
      <c r="A786" t="s">
        <v>147</v>
      </c>
      <c r="B786" s="1">
        <v>45280</v>
      </c>
      <c r="C786" t="s">
        <v>17</v>
      </c>
      <c r="D786">
        <v>3</v>
      </c>
      <c r="E786">
        <v>135</v>
      </c>
      <c r="F786">
        <v>12</v>
      </c>
      <c r="G786">
        <v>1620</v>
      </c>
      <c r="H786">
        <v>189</v>
      </c>
      <c r="I786" t="s">
        <v>22</v>
      </c>
      <c r="J786" t="s">
        <v>37</v>
      </c>
    </row>
    <row r="787" spans="1:10" x14ac:dyDescent="0.25">
      <c r="A787" t="s">
        <v>147</v>
      </c>
      <c r="B787" s="1">
        <v>45280</v>
      </c>
      <c r="C787" t="s">
        <v>17</v>
      </c>
      <c r="D787">
        <v>4</v>
      </c>
      <c r="E787">
        <v>95</v>
      </c>
      <c r="F787">
        <v>16</v>
      </c>
      <c r="G787">
        <v>1520</v>
      </c>
      <c r="H787">
        <v>145.66999999999999</v>
      </c>
      <c r="I787" t="s">
        <v>22</v>
      </c>
      <c r="J787" t="s">
        <v>37</v>
      </c>
    </row>
    <row r="788" spans="1:10" x14ac:dyDescent="0.25">
      <c r="A788" t="s">
        <v>147</v>
      </c>
      <c r="B788" s="1">
        <v>45280</v>
      </c>
      <c r="C788" t="s">
        <v>11</v>
      </c>
      <c r="D788">
        <v>1</v>
      </c>
      <c r="E788">
        <v>135</v>
      </c>
      <c r="F788">
        <v>12</v>
      </c>
      <c r="G788">
        <v>1620</v>
      </c>
      <c r="H788">
        <v>189</v>
      </c>
      <c r="I788" t="s">
        <v>22</v>
      </c>
      <c r="J788" t="s">
        <v>37</v>
      </c>
    </row>
    <row r="789" spans="1:10" x14ac:dyDescent="0.25">
      <c r="A789" t="s">
        <v>147</v>
      </c>
      <c r="B789" s="1">
        <v>45280</v>
      </c>
      <c r="C789" t="s">
        <v>11</v>
      </c>
      <c r="D789">
        <v>2</v>
      </c>
      <c r="E789">
        <v>185</v>
      </c>
      <c r="F789">
        <v>12</v>
      </c>
      <c r="G789">
        <v>2220</v>
      </c>
      <c r="H789">
        <v>259</v>
      </c>
      <c r="I789" t="s">
        <v>22</v>
      </c>
      <c r="J789" t="s">
        <v>37</v>
      </c>
    </row>
    <row r="790" spans="1:10" x14ac:dyDescent="0.25">
      <c r="A790" t="s">
        <v>147</v>
      </c>
      <c r="B790" s="1">
        <v>45280</v>
      </c>
      <c r="C790" t="s">
        <v>11</v>
      </c>
      <c r="D790">
        <v>3</v>
      </c>
      <c r="E790">
        <v>225</v>
      </c>
      <c r="F790">
        <v>10</v>
      </c>
      <c r="G790">
        <v>2250</v>
      </c>
      <c r="H790">
        <v>300</v>
      </c>
      <c r="I790" t="s">
        <v>22</v>
      </c>
      <c r="J790" t="s">
        <v>37</v>
      </c>
    </row>
    <row r="791" spans="1:10" x14ac:dyDescent="0.25">
      <c r="A791" t="s">
        <v>147</v>
      </c>
      <c r="B791" s="1">
        <v>45280</v>
      </c>
      <c r="C791" t="s">
        <v>65</v>
      </c>
      <c r="D791">
        <v>1</v>
      </c>
      <c r="E791">
        <v>1</v>
      </c>
      <c r="F791">
        <v>25</v>
      </c>
      <c r="G791">
        <v>25</v>
      </c>
      <c r="H791">
        <v>1.83</v>
      </c>
      <c r="I791" t="s">
        <v>22</v>
      </c>
      <c r="J791" t="s">
        <v>38</v>
      </c>
    </row>
    <row r="792" spans="1:10" x14ac:dyDescent="0.25">
      <c r="A792" t="s">
        <v>147</v>
      </c>
      <c r="B792" s="1">
        <v>45280</v>
      </c>
      <c r="C792" t="s">
        <v>65</v>
      </c>
      <c r="D792">
        <v>2</v>
      </c>
      <c r="E792">
        <v>1</v>
      </c>
      <c r="F792">
        <v>25</v>
      </c>
      <c r="G792">
        <v>25</v>
      </c>
      <c r="H792">
        <v>1.83</v>
      </c>
      <c r="I792" t="s">
        <v>22</v>
      </c>
      <c r="J792" t="s">
        <v>38</v>
      </c>
    </row>
    <row r="793" spans="1:10" x14ac:dyDescent="0.25">
      <c r="A793" t="s">
        <v>147</v>
      </c>
      <c r="B793" s="1">
        <v>45280</v>
      </c>
      <c r="C793" t="s">
        <v>65</v>
      </c>
      <c r="D793">
        <v>3</v>
      </c>
      <c r="E793">
        <v>1</v>
      </c>
      <c r="F793">
        <v>25</v>
      </c>
      <c r="G793">
        <v>25</v>
      </c>
      <c r="H793">
        <v>1.83</v>
      </c>
      <c r="I793" t="s">
        <v>22</v>
      </c>
      <c r="J793" t="s">
        <v>38</v>
      </c>
    </row>
    <row r="794" spans="1:10" x14ac:dyDescent="0.25">
      <c r="A794" t="s">
        <v>148</v>
      </c>
      <c r="B794" s="1">
        <v>45281</v>
      </c>
      <c r="C794" t="s">
        <v>12</v>
      </c>
      <c r="D794">
        <v>1</v>
      </c>
      <c r="E794">
        <v>45</v>
      </c>
      <c r="F794">
        <v>16</v>
      </c>
      <c r="G794">
        <v>720</v>
      </c>
      <c r="H794">
        <v>69</v>
      </c>
      <c r="I794" t="s">
        <v>23</v>
      </c>
      <c r="J794" t="s">
        <v>37</v>
      </c>
    </row>
    <row r="795" spans="1:10" x14ac:dyDescent="0.25">
      <c r="A795" t="s">
        <v>148</v>
      </c>
      <c r="B795" s="1">
        <v>45281</v>
      </c>
      <c r="C795" t="s">
        <v>12</v>
      </c>
      <c r="D795">
        <v>2</v>
      </c>
      <c r="E795">
        <v>95</v>
      </c>
      <c r="F795">
        <v>12</v>
      </c>
      <c r="G795">
        <v>1140</v>
      </c>
      <c r="H795">
        <v>133</v>
      </c>
      <c r="I795" t="s">
        <v>23</v>
      </c>
      <c r="J795" t="s">
        <v>37</v>
      </c>
    </row>
    <row r="796" spans="1:10" x14ac:dyDescent="0.25">
      <c r="A796" t="s">
        <v>148</v>
      </c>
      <c r="B796" s="1">
        <v>45281</v>
      </c>
      <c r="C796" t="s">
        <v>12</v>
      </c>
      <c r="D796">
        <v>3</v>
      </c>
      <c r="E796">
        <v>135</v>
      </c>
      <c r="F796">
        <v>10</v>
      </c>
      <c r="G796">
        <v>1350</v>
      </c>
      <c r="H796">
        <v>180</v>
      </c>
      <c r="I796" t="s">
        <v>23</v>
      </c>
      <c r="J796" t="s">
        <v>37</v>
      </c>
    </row>
    <row r="797" spans="1:10" x14ac:dyDescent="0.25">
      <c r="A797" t="s">
        <v>148</v>
      </c>
      <c r="B797" s="1">
        <v>45281</v>
      </c>
      <c r="C797" t="s">
        <v>12</v>
      </c>
      <c r="D797">
        <v>4</v>
      </c>
      <c r="E797">
        <v>150</v>
      </c>
      <c r="F797">
        <v>7</v>
      </c>
      <c r="G797">
        <v>1050</v>
      </c>
      <c r="H797">
        <v>185</v>
      </c>
      <c r="I797" t="s">
        <v>23</v>
      </c>
      <c r="J797" t="s">
        <v>37</v>
      </c>
    </row>
    <row r="798" spans="1:10" x14ac:dyDescent="0.25">
      <c r="A798" t="s">
        <v>148</v>
      </c>
      <c r="B798" s="1">
        <v>45281</v>
      </c>
      <c r="C798" t="s">
        <v>18</v>
      </c>
      <c r="D798">
        <v>1</v>
      </c>
      <c r="E798">
        <v>45</v>
      </c>
      <c r="F798">
        <v>10</v>
      </c>
      <c r="G798">
        <v>450</v>
      </c>
      <c r="H798">
        <v>60</v>
      </c>
      <c r="I798" t="s">
        <v>23</v>
      </c>
      <c r="J798" t="s">
        <v>38</v>
      </c>
    </row>
    <row r="799" spans="1:10" x14ac:dyDescent="0.25">
      <c r="A799" t="s">
        <v>148</v>
      </c>
      <c r="B799" s="1">
        <v>45281</v>
      </c>
      <c r="C799" t="s">
        <v>18</v>
      </c>
      <c r="D799">
        <v>2</v>
      </c>
      <c r="E799">
        <v>100</v>
      </c>
      <c r="F799">
        <v>12</v>
      </c>
      <c r="G799">
        <v>1200</v>
      </c>
      <c r="H799">
        <v>140</v>
      </c>
      <c r="I799" t="s">
        <v>23</v>
      </c>
      <c r="J799" t="s">
        <v>38</v>
      </c>
    </row>
    <row r="800" spans="1:10" x14ac:dyDescent="0.25">
      <c r="A800" t="s">
        <v>148</v>
      </c>
      <c r="B800" s="1">
        <v>45281</v>
      </c>
      <c r="C800" t="s">
        <v>18</v>
      </c>
      <c r="D800">
        <v>3</v>
      </c>
      <c r="E800">
        <v>105</v>
      </c>
      <c r="F800">
        <v>10</v>
      </c>
      <c r="G800">
        <v>1050</v>
      </c>
      <c r="H800">
        <v>140</v>
      </c>
      <c r="I800" t="s">
        <v>23</v>
      </c>
      <c r="J800" t="s">
        <v>38</v>
      </c>
    </row>
    <row r="801" spans="1:10" x14ac:dyDescent="0.25">
      <c r="A801" t="s">
        <v>148</v>
      </c>
      <c r="B801" s="1">
        <v>45281</v>
      </c>
      <c r="C801" t="s">
        <v>18</v>
      </c>
      <c r="D801">
        <v>4</v>
      </c>
      <c r="E801">
        <v>105</v>
      </c>
      <c r="F801">
        <v>8</v>
      </c>
      <c r="G801">
        <v>840</v>
      </c>
      <c r="H801">
        <v>133</v>
      </c>
      <c r="I801" t="s">
        <v>23</v>
      </c>
      <c r="J801" t="s">
        <v>38</v>
      </c>
    </row>
    <row r="802" spans="1:10" x14ac:dyDescent="0.25">
      <c r="A802" t="s">
        <v>148</v>
      </c>
      <c r="B802" s="1">
        <v>45281</v>
      </c>
      <c r="C802" t="s">
        <v>14</v>
      </c>
      <c r="D802">
        <v>1</v>
      </c>
      <c r="E802">
        <v>70</v>
      </c>
      <c r="F802">
        <v>10</v>
      </c>
      <c r="G802">
        <v>700</v>
      </c>
      <c r="H802">
        <v>93.33</v>
      </c>
      <c r="I802" t="s">
        <v>23</v>
      </c>
      <c r="J802" t="s">
        <v>37</v>
      </c>
    </row>
    <row r="803" spans="1:10" x14ac:dyDescent="0.25">
      <c r="A803" t="s">
        <v>148</v>
      </c>
      <c r="B803" s="1">
        <v>45281</v>
      </c>
      <c r="C803" t="s">
        <v>14</v>
      </c>
      <c r="D803">
        <v>2</v>
      </c>
      <c r="E803">
        <v>70</v>
      </c>
      <c r="F803">
        <v>10</v>
      </c>
      <c r="G803">
        <v>700</v>
      </c>
      <c r="H803">
        <v>93.33</v>
      </c>
      <c r="I803" t="s">
        <v>23</v>
      </c>
      <c r="J803" t="s">
        <v>37</v>
      </c>
    </row>
    <row r="804" spans="1:10" x14ac:dyDescent="0.25">
      <c r="A804" t="s">
        <v>148</v>
      </c>
      <c r="B804" s="1">
        <v>45281</v>
      </c>
      <c r="C804" t="s">
        <v>14</v>
      </c>
      <c r="D804">
        <v>3</v>
      </c>
      <c r="E804">
        <v>70</v>
      </c>
      <c r="F804">
        <v>7</v>
      </c>
      <c r="G804">
        <v>490</v>
      </c>
      <c r="H804">
        <v>86.33</v>
      </c>
      <c r="I804" t="s">
        <v>23</v>
      </c>
      <c r="J804" t="s">
        <v>37</v>
      </c>
    </row>
    <row r="805" spans="1:10" x14ac:dyDescent="0.25">
      <c r="A805" t="s">
        <v>148</v>
      </c>
      <c r="B805" s="1">
        <v>45281</v>
      </c>
      <c r="C805" t="s">
        <v>14</v>
      </c>
      <c r="D805">
        <v>4</v>
      </c>
      <c r="E805">
        <v>70</v>
      </c>
      <c r="F805">
        <v>7</v>
      </c>
      <c r="G805">
        <v>490</v>
      </c>
      <c r="H805">
        <v>86.33</v>
      </c>
      <c r="I805" t="s">
        <v>23</v>
      </c>
      <c r="J805" t="s">
        <v>37</v>
      </c>
    </row>
    <row r="806" spans="1:10" x14ac:dyDescent="0.25">
      <c r="A806" t="s">
        <v>148</v>
      </c>
      <c r="B806" s="1">
        <v>45281</v>
      </c>
      <c r="C806" t="s">
        <v>49</v>
      </c>
      <c r="D806">
        <v>1</v>
      </c>
      <c r="E806">
        <v>15</v>
      </c>
      <c r="F806">
        <v>20</v>
      </c>
      <c r="G806">
        <v>300</v>
      </c>
      <c r="H806">
        <v>25</v>
      </c>
      <c r="I806" t="s">
        <v>23</v>
      </c>
      <c r="J806" t="s">
        <v>38</v>
      </c>
    </row>
    <row r="807" spans="1:10" x14ac:dyDescent="0.25">
      <c r="A807" t="s">
        <v>148</v>
      </c>
      <c r="B807" s="1">
        <v>45281</v>
      </c>
      <c r="C807" t="s">
        <v>49</v>
      </c>
      <c r="D807">
        <v>2</v>
      </c>
      <c r="E807">
        <v>15</v>
      </c>
      <c r="F807">
        <v>20</v>
      </c>
      <c r="G807">
        <v>300</v>
      </c>
      <c r="H807">
        <v>25</v>
      </c>
      <c r="I807" t="s">
        <v>23</v>
      </c>
      <c r="J807" t="s">
        <v>38</v>
      </c>
    </row>
    <row r="808" spans="1:10" x14ac:dyDescent="0.25">
      <c r="A808" t="s">
        <v>148</v>
      </c>
      <c r="B808" s="1">
        <v>45281</v>
      </c>
      <c r="C808" t="s">
        <v>49</v>
      </c>
      <c r="D808">
        <v>3</v>
      </c>
      <c r="E808">
        <v>15</v>
      </c>
      <c r="F808">
        <v>20</v>
      </c>
      <c r="G808">
        <v>300</v>
      </c>
      <c r="H808">
        <v>25</v>
      </c>
      <c r="I808" t="s">
        <v>23</v>
      </c>
      <c r="J808" t="s">
        <v>38</v>
      </c>
    </row>
    <row r="809" spans="1:10" x14ac:dyDescent="0.25">
      <c r="A809" t="s">
        <v>148</v>
      </c>
      <c r="B809" s="1">
        <v>45281</v>
      </c>
      <c r="C809" t="s">
        <v>49</v>
      </c>
      <c r="D809">
        <v>4</v>
      </c>
      <c r="E809">
        <v>15</v>
      </c>
      <c r="F809">
        <v>20</v>
      </c>
      <c r="G809">
        <v>300</v>
      </c>
      <c r="H809">
        <v>25</v>
      </c>
      <c r="I809" t="s">
        <v>23</v>
      </c>
      <c r="J809" t="s">
        <v>38</v>
      </c>
    </row>
    <row r="810" spans="1:10" x14ac:dyDescent="0.25">
      <c r="A810" t="s">
        <v>149</v>
      </c>
      <c r="B810" s="1">
        <v>45282</v>
      </c>
      <c r="C810" t="s">
        <v>9</v>
      </c>
      <c r="D810">
        <v>1</v>
      </c>
      <c r="E810">
        <v>70</v>
      </c>
      <c r="F810">
        <v>15</v>
      </c>
      <c r="G810">
        <v>1050</v>
      </c>
      <c r="H810">
        <v>105</v>
      </c>
      <c r="I810" t="s">
        <v>21</v>
      </c>
      <c r="J810" t="s">
        <v>37</v>
      </c>
    </row>
    <row r="811" spans="1:10" x14ac:dyDescent="0.25">
      <c r="A811" t="s">
        <v>149</v>
      </c>
      <c r="B811" s="1">
        <v>45282</v>
      </c>
      <c r="C811" t="s">
        <v>9</v>
      </c>
      <c r="D811">
        <v>2</v>
      </c>
      <c r="E811">
        <v>75</v>
      </c>
      <c r="F811">
        <v>15</v>
      </c>
      <c r="G811">
        <v>1125</v>
      </c>
      <c r="H811">
        <v>112.5</v>
      </c>
      <c r="I811" t="s">
        <v>21</v>
      </c>
      <c r="J811" t="s">
        <v>37</v>
      </c>
    </row>
    <row r="812" spans="1:10" x14ac:dyDescent="0.25">
      <c r="A812" t="s">
        <v>149</v>
      </c>
      <c r="B812" s="1">
        <v>45282</v>
      </c>
      <c r="C812" t="s">
        <v>9</v>
      </c>
      <c r="D812">
        <v>3</v>
      </c>
      <c r="E812">
        <v>75</v>
      </c>
      <c r="F812">
        <v>15</v>
      </c>
      <c r="G812">
        <v>1125</v>
      </c>
      <c r="H812">
        <v>112.5</v>
      </c>
      <c r="I812" t="s">
        <v>21</v>
      </c>
      <c r="J812" t="s">
        <v>37</v>
      </c>
    </row>
    <row r="813" spans="1:10" x14ac:dyDescent="0.25">
      <c r="A813" t="s">
        <v>149</v>
      </c>
      <c r="B813" s="1">
        <v>45282</v>
      </c>
      <c r="C813" t="s">
        <v>10</v>
      </c>
      <c r="D813">
        <v>1</v>
      </c>
      <c r="E813">
        <v>60</v>
      </c>
      <c r="F813">
        <v>15</v>
      </c>
      <c r="G813">
        <v>900</v>
      </c>
      <c r="H813">
        <v>90</v>
      </c>
      <c r="I813" t="s">
        <v>21</v>
      </c>
      <c r="J813" t="s">
        <v>38</v>
      </c>
    </row>
    <row r="814" spans="1:10" x14ac:dyDescent="0.25">
      <c r="A814" t="s">
        <v>149</v>
      </c>
      <c r="B814" s="1">
        <v>45282</v>
      </c>
      <c r="C814" t="s">
        <v>10</v>
      </c>
      <c r="D814">
        <v>2</v>
      </c>
      <c r="E814">
        <v>60</v>
      </c>
      <c r="F814">
        <v>15</v>
      </c>
      <c r="G814">
        <v>900</v>
      </c>
      <c r="H814">
        <v>90</v>
      </c>
      <c r="I814" t="s">
        <v>21</v>
      </c>
      <c r="J814" t="s">
        <v>38</v>
      </c>
    </row>
    <row r="815" spans="1:10" x14ac:dyDescent="0.25">
      <c r="A815" t="s">
        <v>149</v>
      </c>
      <c r="B815" s="1">
        <v>45282</v>
      </c>
      <c r="C815" t="s">
        <v>10</v>
      </c>
      <c r="D815">
        <v>3</v>
      </c>
      <c r="E815">
        <v>60</v>
      </c>
      <c r="F815">
        <v>15</v>
      </c>
      <c r="G815">
        <v>900</v>
      </c>
      <c r="H815">
        <v>90</v>
      </c>
      <c r="I815" t="s">
        <v>21</v>
      </c>
      <c r="J815" t="s">
        <v>38</v>
      </c>
    </row>
    <row r="816" spans="1:10" x14ac:dyDescent="0.25">
      <c r="A816" t="s">
        <v>149</v>
      </c>
      <c r="B816" s="1">
        <v>45282</v>
      </c>
      <c r="C816" t="s">
        <v>66</v>
      </c>
      <c r="D816">
        <v>1</v>
      </c>
      <c r="E816">
        <v>20</v>
      </c>
      <c r="F816">
        <v>12</v>
      </c>
      <c r="G816">
        <v>240</v>
      </c>
      <c r="H816">
        <v>28</v>
      </c>
      <c r="I816" t="s">
        <v>21</v>
      </c>
      <c r="J816" t="s">
        <v>38</v>
      </c>
    </row>
    <row r="817" spans="1:10" x14ac:dyDescent="0.25">
      <c r="A817" t="s">
        <v>149</v>
      </c>
      <c r="B817" s="1">
        <v>45282</v>
      </c>
      <c r="C817" t="s">
        <v>66</v>
      </c>
      <c r="D817">
        <v>2</v>
      </c>
      <c r="E817">
        <v>20</v>
      </c>
      <c r="F817">
        <v>12</v>
      </c>
      <c r="G817">
        <v>240</v>
      </c>
      <c r="H817">
        <v>28</v>
      </c>
      <c r="I817" t="s">
        <v>21</v>
      </c>
      <c r="J817" t="s">
        <v>38</v>
      </c>
    </row>
    <row r="818" spans="1:10" x14ac:dyDescent="0.25">
      <c r="A818" t="s">
        <v>149</v>
      </c>
      <c r="B818" s="1">
        <v>45282</v>
      </c>
      <c r="C818" t="s">
        <v>19</v>
      </c>
      <c r="D818">
        <v>1</v>
      </c>
      <c r="E818">
        <v>176</v>
      </c>
      <c r="F818">
        <v>10</v>
      </c>
      <c r="G818">
        <v>1760</v>
      </c>
      <c r="H818">
        <v>234.67</v>
      </c>
      <c r="I818" t="s">
        <v>21</v>
      </c>
      <c r="J818" t="s">
        <v>37</v>
      </c>
    </row>
    <row r="819" spans="1:10" x14ac:dyDescent="0.25">
      <c r="A819" t="s">
        <v>149</v>
      </c>
      <c r="B819" s="1">
        <v>45282</v>
      </c>
      <c r="C819" t="s">
        <v>19</v>
      </c>
      <c r="D819">
        <v>2</v>
      </c>
      <c r="E819">
        <v>176</v>
      </c>
      <c r="F819">
        <v>12</v>
      </c>
      <c r="G819">
        <v>2112</v>
      </c>
      <c r="H819">
        <v>246.4</v>
      </c>
      <c r="I819" t="s">
        <v>21</v>
      </c>
      <c r="J819" t="s">
        <v>37</v>
      </c>
    </row>
    <row r="820" spans="1:10" x14ac:dyDescent="0.25">
      <c r="A820" t="s">
        <v>149</v>
      </c>
      <c r="B820" s="1">
        <v>45282</v>
      </c>
      <c r="C820" t="s">
        <v>19</v>
      </c>
      <c r="D820">
        <v>3</v>
      </c>
      <c r="E820">
        <v>176</v>
      </c>
      <c r="F820">
        <v>10</v>
      </c>
      <c r="G820">
        <v>1760</v>
      </c>
      <c r="H820">
        <v>234.67</v>
      </c>
      <c r="I820" t="s">
        <v>21</v>
      </c>
      <c r="J820" t="s">
        <v>37</v>
      </c>
    </row>
    <row r="821" spans="1:10" x14ac:dyDescent="0.25">
      <c r="A821" t="s">
        <v>149</v>
      </c>
      <c r="B821" s="1">
        <v>45282</v>
      </c>
      <c r="C821" t="s">
        <v>19</v>
      </c>
      <c r="D821">
        <v>4</v>
      </c>
      <c r="E821">
        <v>186</v>
      </c>
      <c r="F821">
        <v>8</v>
      </c>
      <c r="G821">
        <v>1488</v>
      </c>
      <c r="H821">
        <v>235.6</v>
      </c>
      <c r="I821" t="s">
        <v>21</v>
      </c>
      <c r="J821" t="s">
        <v>37</v>
      </c>
    </row>
    <row r="822" spans="1:10" x14ac:dyDescent="0.25">
      <c r="A822" t="s">
        <v>149</v>
      </c>
      <c r="B822" s="1">
        <v>45282</v>
      </c>
      <c r="C822" t="s">
        <v>47</v>
      </c>
      <c r="D822">
        <v>1</v>
      </c>
      <c r="E822">
        <v>50</v>
      </c>
      <c r="F822">
        <v>20</v>
      </c>
      <c r="G822">
        <v>1000</v>
      </c>
      <c r="H822">
        <v>83.33</v>
      </c>
      <c r="I822" t="s">
        <v>21</v>
      </c>
      <c r="J822" t="s">
        <v>38</v>
      </c>
    </row>
    <row r="823" spans="1:10" x14ac:dyDescent="0.25">
      <c r="A823" t="s">
        <v>149</v>
      </c>
      <c r="B823" s="1">
        <v>45282</v>
      </c>
      <c r="C823" t="s">
        <v>47</v>
      </c>
      <c r="D823">
        <v>2</v>
      </c>
      <c r="E823">
        <v>55</v>
      </c>
      <c r="F823">
        <v>20</v>
      </c>
      <c r="G823">
        <v>1100</v>
      </c>
      <c r="H823">
        <v>91.67</v>
      </c>
      <c r="I823" t="s">
        <v>21</v>
      </c>
      <c r="J823" t="s">
        <v>38</v>
      </c>
    </row>
    <row r="824" spans="1:10" x14ac:dyDescent="0.25">
      <c r="A824" t="s">
        <v>149</v>
      </c>
      <c r="B824" s="1">
        <v>45282</v>
      </c>
      <c r="C824" t="s">
        <v>47</v>
      </c>
      <c r="D824">
        <v>3</v>
      </c>
      <c r="E824">
        <v>55</v>
      </c>
      <c r="F824">
        <v>20</v>
      </c>
      <c r="G824">
        <v>1100</v>
      </c>
      <c r="H824">
        <v>91.67</v>
      </c>
      <c r="I824" t="s">
        <v>21</v>
      </c>
      <c r="J824" t="s">
        <v>38</v>
      </c>
    </row>
    <row r="825" spans="1:10" x14ac:dyDescent="0.25">
      <c r="A825" t="s">
        <v>149</v>
      </c>
      <c r="B825" s="1">
        <v>45282</v>
      </c>
      <c r="C825" t="s">
        <v>65</v>
      </c>
      <c r="D825">
        <v>1</v>
      </c>
      <c r="E825">
        <v>5</v>
      </c>
      <c r="F825">
        <v>25</v>
      </c>
      <c r="G825">
        <v>125</v>
      </c>
      <c r="H825">
        <v>9.17</v>
      </c>
      <c r="I825" t="s">
        <v>21</v>
      </c>
      <c r="J825" t="s">
        <v>38</v>
      </c>
    </row>
    <row r="826" spans="1:10" x14ac:dyDescent="0.25">
      <c r="A826" t="s">
        <v>149</v>
      </c>
      <c r="B826" s="1">
        <v>45282</v>
      </c>
      <c r="C826" t="s">
        <v>65</v>
      </c>
      <c r="D826">
        <v>2</v>
      </c>
      <c r="E826">
        <v>5</v>
      </c>
      <c r="F826">
        <v>25</v>
      </c>
      <c r="G826">
        <v>125</v>
      </c>
      <c r="H826">
        <v>9.17</v>
      </c>
      <c r="I826" t="s">
        <v>21</v>
      </c>
      <c r="J826" t="s">
        <v>38</v>
      </c>
    </row>
    <row r="827" spans="1:10" x14ac:dyDescent="0.25">
      <c r="A827" t="s">
        <v>149</v>
      </c>
      <c r="B827" s="1">
        <v>45282</v>
      </c>
      <c r="C827" t="s">
        <v>65</v>
      </c>
      <c r="D827">
        <v>3</v>
      </c>
      <c r="E827">
        <v>5</v>
      </c>
      <c r="F827">
        <v>25</v>
      </c>
      <c r="G827">
        <v>125</v>
      </c>
      <c r="H827">
        <v>9.17</v>
      </c>
      <c r="I827" t="s">
        <v>21</v>
      </c>
      <c r="J827" t="s">
        <v>38</v>
      </c>
    </row>
    <row r="828" spans="1:10" x14ac:dyDescent="0.25">
      <c r="A828" t="s">
        <v>149</v>
      </c>
      <c r="B828" s="1">
        <v>45282</v>
      </c>
      <c r="C828" t="s">
        <v>65</v>
      </c>
      <c r="D828">
        <v>4</v>
      </c>
      <c r="E828">
        <v>10</v>
      </c>
      <c r="F828">
        <v>25</v>
      </c>
      <c r="G828">
        <v>250</v>
      </c>
      <c r="H828">
        <v>18.329999999999998</v>
      </c>
      <c r="I828" t="s">
        <v>21</v>
      </c>
      <c r="J828" t="s">
        <v>38</v>
      </c>
    </row>
    <row r="829" spans="1:10" x14ac:dyDescent="0.25">
      <c r="A829" t="s">
        <v>150</v>
      </c>
      <c r="B829" s="1">
        <v>45284</v>
      </c>
      <c r="C829" t="s">
        <v>17</v>
      </c>
      <c r="D829">
        <v>1</v>
      </c>
      <c r="E829">
        <v>45</v>
      </c>
      <c r="F829">
        <v>10</v>
      </c>
      <c r="G829">
        <v>450</v>
      </c>
      <c r="H829">
        <v>60</v>
      </c>
      <c r="I829" t="s">
        <v>22</v>
      </c>
      <c r="J829" t="s">
        <v>37</v>
      </c>
    </row>
    <row r="830" spans="1:10" x14ac:dyDescent="0.25">
      <c r="A830" t="s">
        <v>150</v>
      </c>
      <c r="B830" s="1">
        <v>45284</v>
      </c>
      <c r="C830" t="s">
        <v>17</v>
      </c>
      <c r="D830">
        <v>2</v>
      </c>
      <c r="E830">
        <v>95</v>
      </c>
      <c r="F830">
        <v>10</v>
      </c>
      <c r="G830">
        <v>950</v>
      </c>
      <c r="H830">
        <v>126.67</v>
      </c>
      <c r="I830" t="s">
        <v>22</v>
      </c>
      <c r="J830" t="s">
        <v>37</v>
      </c>
    </row>
    <row r="831" spans="1:10" x14ac:dyDescent="0.25">
      <c r="A831" t="s">
        <v>150</v>
      </c>
      <c r="B831" s="1">
        <v>45284</v>
      </c>
      <c r="C831" t="s">
        <v>17</v>
      </c>
      <c r="D831">
        <v>3</v>
      </c>
      <c r="E831">
        <v>135</v>
      </c>
      <c r="F831">
        <v>5</v>
      </c>
      <c r="G831">
        <v>675</v>
      </c>
      <c r="H831">
        <v>157.5</v>
      </c>
      <c r="I831" t="s">
        <v>22</v>
      </c>
      <c r="J831" t="s">
        <v>37</v>
      </c>
    </row>
    <row r="832" spans="1:10" x14ac:dyDescent="0.25">
      <c r="A832" t="s">
        <v>150</v>
      </c>
      <c r="B832" s="1">
        <v>45284</v>
      </c>
      <c r="C832" t="s">
        <v>17</v>
      </c>
      <c r="D832">
        <v>4</v>
      </c>
      <c r="E832">
        <v>150</v>
      </c>
      <c r="F832">
        <v>10</v>
      </c>
      <c r="G832">
        <v>1500</v>
      </c>
      <c r="H832">
        <v>200</v>
      </c>
      <c r="I832" t="s">
        <v>22</v>
      </c>
      <c r="J832" t="s">
        <v>37</v>
      </c>
    </row>
    <row r="833" spans="1:10" x14ac:dyDescent="0.25">
      <c r="A833" t="s">
        <v>150</v>
      </c>
      <c r="B833" s="1">
        <v>45284</v>
      </c>
      <c r="C833" t="s">
        <v>17</v>
      </c>
      <c r="D833">
        <v>5</v>
      </c>
      <c r="E833">
        <v>135</v>
      </c>
      <c r="F833">
        <v>8</v>
      </c>
      <c r="G833">
        <v>1080</v>
      </c>
      <c r="H833">
        <v>171</v>
      </c>
      <c r="I833" t="s">
        <v>22</v>
      </c>
      <c r="J833" t="s">
        <v>37</v>
      </c>
    </row>
    <row r="834" spans="1:10" x14ac:dyDescent="0.25">
      <c r="A834" t="s">
        <v>150</v>
      </c>
      <c r="B834" s="1">
        <v>45284</v>
      </c>
      <c r="C834" t="s">
        <v>11</v>
      </c>
      <c r="D834">
        <v>1</v>
      </c>
      <c r="E834">
        <v>185</v>
      </c>
      <c r="F834">
        <v>10</v>
      </c>
      <c r="G834">
        <v>1850</v>
      </c>
      <c r="H834">
        <v>246.67</v>
      </c>
      <c r="I834" t="s">
        <v>22</v>
      </c>
      <c r="J834" t="s">
        <v>37</v>
      </c>
    </row>
    <row r="835" spans="1:10" x14ac:dyDescent="0.25">
      <c r="A835" t="s">
        <v>150</v>
      </c>
      <c r="B835" s="1">
        <v>45284</v>
      </c>
      <c r="C835" t="s">
        <v>11</v>
      </c>
      <c r="D835">
        <v>2</v>
      </c>
      <c r="E835">
        <v>235</v>
      </c>
      <c r="F835">
        <v>10</v>
      </c>
      <c r="G835">
        <v>2350</v>
      </c>
      <c r="H835">
        <v>313.33</v>
      </c>
      <c r="I835" t="s">
        <v>22</v>
      </c>
      <c r="J835" t="s">
        <v>37</v>
      </c>
    </row>
    <row r="836" spans="1:10" x14ac:dyDescent="0.25">
      <c r="A836" t="s">
        <v>150</v>
      </c>
      <c r="B836" s="1">
        <v>45284</v>
      </c>
      <c r="C836" t="s">
        <v>11</v>
      </c>
      <c r="D836">
        <v>3</v>
      </c>
      <c r="E836">
        <v>235</v>
      </c>
      <c r="F836">
        <v>6</v>
      </c>
      <c r="G836">
        <v>1410</v>
      </c>
      <c r="H836">
        <v>282</v>
      </c>
      <c r="I836" t="s">
        <v>22</v>
      </c>
      <c r="J836" t="s">
        <v>37</v>
      </c>
    </row>
    <row r="837" spans="1:10" x14ac:dyDescent="0.25">
      <c r="A837" t="s">
        <v>150</v>
      </c>
      <c r="B837" s="1">
        <v>45284</v>
      </c>
      <c r="C837" t="s">
        <v>65</v>
      </c>
      <c r="D837">
        <v>1</v>
      </c>
      <c r="E837">
        <v>10</v>
      </c>
      <c r="F837">
        <v>25</v>
      </c>
      <c r="G837">
        <v>250</v>
      </c>
      <c r="H837">
        <v>18.329999999999998</v>
      </c>
      <c r="I837" t="s">
        <v>22</v>
      </c>
      <c r="J837" t="s">
        <v>38</v>
      </c>
    </row>
    <row r="838" spans="1:10" x14ac:dyDescent="0.25">
      <c r="A838" t="s">
        <v>150</v>
      </c>
      <c r="B838" s="1">
        <v>45284</v>
      </c>
      <c r="C838" t="s">
        <v>65</v>
      </c>
      <c r="D838">
        <v>2</v>
      </c>
      <c r="E838">
        <v>10</v>
      </c>
      <c r="F838">
        <v>25</v>
      </c>
      <c r="G838">
        <v>250</v>
      </c>
      <c r="H838">
        <v>18.329999999999998</v>
      </c>
      <c r="I838" t="s">
        <v>22</v>
      </c>
      <c r="J838" t="s">
        <v>38</v>
      </c>
    </row>
    <row r="839" spans="1:10" x14ac:dyDescent="0.25">
      <c r="A839" t="s">
        <v>150</v>
      </c>
      <c r="B839" s="1">
        <v>45284</v>
      </c>
      <c r="C839" t="s">
        <v>65</v>
      </c>
      <c r="D839">
        <v>3</v>
      </c>
      <c r="E839">
        <v>10</v>
      </c>
      <c r="F839">
        <v>25</v>
      </c>
      <c r="G839">
        <v>250</v>
      </c>
      <c r="H839">
        <v>18.329999999999998</v>
      </c>
      <c r="I839" t="s">
        <v>22</v>
      </c>
      <c r="J839" t="s">
        <v>38</v>
      </c>
    </row>
    <row r="840" spans="1:10" x14ac:dyDescent="0.25">
      <c r="A840" t="s">
        <v>150</v>
      </c>
      <c r="B840" s="1">
        <v>45284</v>
      </c>
      <c r="C840" t="s">
        <v>65</v>
      </c>
      <c r="D840">
        <v>4</v>
      </c>
      <c r="E840">
        <v>25</v>
      </c>
      <c r="F840">
        <v>20</v>
      </c>
      <c r="G840">
        <v>500</v>
      </c>
      <c r="H840">
        <v>41.67</v>
      </c>
      <c r="I840" t="s">
        <v>22</v>
      </c>
      <c r="J840" t="s">
        <v>38</v>
      </c>
    </row>
    <row r="841" spans="1:10" x14ac:dyDescent="0.25">
      <c r="A841" t="s">
        <v>151</v>
      </c>
      <c r="B841" s="1">
        <v>45285</v>
      </c>
      <c r="C841" t="s">
        <v>12</v>
      </c>
      <c r="D841">
        <v>1</v>
      </c>
      <c r="E841">
        <v>45</v>
      </c>
      <c r="F841">
        <v>20</v>
      </c>
      <c r="G841">
        <v>900</v>
      </c>
      <c r="H841">
        <v>75</v>
      </c>
      <c r="I841" t="s">
        <v>23</v>
      </c>
      <c r="J841" t="s">
        <v>37</v>
      </c>
    </row>
    <row r="842" spans="1:10" x14ac:dyDescent="0.25">
      <c r="A842" t="s">
        <v>151</v>
      </c>
      <c r="B842" s="1">
        <v>45285</v>
      </c>
      <c r="C842" t="s">
        <v>12</v>
      </c>
      <c r="D842">
        <v>2</v>
      </c>
      <c r="E842">
        <v>95</v>
      </c>
      <c r="F842">
        <v>12</v>
      </c>
      <c r="G842">
        <v>1140</v>
      </c>
      <c r="H842">
        <v>133</v>
      </c>
      <c r="I842" t="s">
        <v>23</v>
      </c>
      <c r="J842" t="s">
        <v>37</v>
      </c>
    </row>
    <row r="843" spans="1:10" x14ac:dyDescent="0.25">
      <c r="A843" t="s">
        <v>151</v>
      </c>
      <c r="B843" s="1">
        <v>45285</v>
      </c>
      <c r="C843" t="s">
        <v>12</v>
      </c>
      <c r="D843">
        <v>3</v>
      </c>
      <c r="E843">
        <v>135</v>
      </c>
      <c r="F843">
        <v>5</v>
      </c>
      <c r="G843">
        <v>675</v>
      </c>
      <c r="H843">
        <v>157.5</v>
      </c>
      <c r="I843" t="s">
        <v>23</v>
      </c>
      <c r="J843" t="s">
        <v>37</v>
      </c>
    </row>
    <row r="844" spans="1:10" x14ac:dyDescent="0.25">
      <c r="A844" t="s">
        <v>151</v>
      </c>
      <c r="B844" s="1">
        <v>45285</v>
      </c>
      <c r="C844" t="s">
        <v>12</v>
      </c>
      <c r="D844">
        <v>4</v>
      </c>
      <c r="E844">
        <v>155</v>
      </c>
      <c r="F844">
        <v>5</v>
      </c>
      <c r="G844">
        <v>775</v>
      </c>
      <c r="H844">
        <v>180.83</v>
      </c>
      <c r="I844" t="s">
        <v>23</v>
      </c>
      <c r="J844" t="s">
        <v>37</v>
      </c>
    </row>
    <row r="845" spans="1:10" x14ac:dyDescent="0.25">
      <c r="A845" t="s">
        <v>151</v>
      </c>
      <c r="B845" s="1">
        <v>45285</v>
      </c>
      <c r="C845" t="s">
        <v>12</v>
      </c>
      <c r="D845">
        <v>5</v>
      </c>
      <c r="E845">
        <v>155</v>
      </c>
      <c r="F845">
        <v>5</v>
      </c>
      <c r="G845">
        <v>775</v>
      </c>
      <c r="H845">
        <v>180.83</v>
      </c>
      <c r="I845" t="s">
        <v>23</v>
      </c>
      <c r="J845" t="s">
        <v>37</v>
      </c>
    </row>
    <row r="846" spans="1:10" x14ac:dyDescent="0.25">
      <c r="A846" t="s">
        <v>151</v>
      </c>
      <c r="B846" s="1">
        <v>45285</v>
      </c>
      <c r="C846" t="s">
        <v>18</v>
      </c>
      <c r="D846">
        <v>1</v>
      </c>
      <c r="E846">
        <v>45</v>
      </c>
      <c r="F846">
        <v>12</v>
      </c>
      <c r="G846">
        <v>540</v>
      </c>
      <c r="H846">
        <v>63</v>
      </c>
      <c r="I846" t="s">
        <v>23</v>
      </c>
      <c r="J846" t="s">
        <v>38</v>
      </c>
    </row>
    <row r="847" spans="1:10" x14ac:dyDescent="0.25">
      <c r="A847" t="s">
        <v>151</v>
      </c>
      <c r="B847" s="1">
        <v>45285</v>
      </c>
      <c r="C847" t="s">
        <v>18</v>
      </c>
      <c r="D847">
        <v>2</v>
      </c>
      <c r="E847">
        <v>95</v>
      </c>
      <c r="F847">
        <v>12</v>
      </c>
      <c r="G847">
        <v>1140</v>
      </c>
      <c r="H847">
        <v>133</v>
      </c>
      <c r="I847" t="s">
        <v>23</v>
      </c>
      <c r="J847" t="s">
        <v>38</v>
      </c>
    </row>
    <row r="848" spans="1:10" x14ac:dyDescent="0.25">
      <c r="A848" t="s">
        <v>151</v>
      </c>
      <c r="B848" s="1">
        <v>45285</v>
      </c>
      <c r="C848" t="s">
        <v>18</v>
      </c>
      <c r="D848">
        <v>3</v>
      </c>
      <c r="E848">
        <v>110</v>
      </c>
      <c r="F848">
        <v>11</v>
      </c>
      <c r="G848">
        <v>1210</v>
      </c>
      <c r="H848">
        <v>150.33000000000001</v>
      </c>
      <c r="I848" t="s">
        <v>23</v>
      </c>
      <c r="J848" t="s">
        <v>38</v>
      </c>
    </row>
    <row r="849" spans="1:10" x14ac:dyDescent="0.25">
      <c r="A849" t="s">
        <v>151</v>
      </c>
      <c r="B849" s="1">
        <v>45285</v>
      </c>
      <c r="C849" t="s">
        <v>18</v>
      </c>
      <c r="D849">
        <v>4</v>
      </c>
      <c r="E849">
        <v>110</v>
      </c>
      <c r="F849">
        <v>8</v>
      </c>
      <c r="G849">
        <v>880</v>
      </c>
      <c r="H849">
        <v>139.33000000000001</v>
      </c>
      <c r="I849" t="s">
        <v>23</v>
      </c>
      <c r="J849" t="s">
        <v>38</v>
      </c>
    </row>
    <row r="850" spans="1:10" x14ac:dyDescent="0.25">
      <c r="A850" t="s">
        <v>151</v>
      </c>
      <c r="B850" s="1">
        <v>45285</v>
      </c>
      <c r="C850" t="s">
        <v>14</v>
      </c>
      <c r="D850">
        <v>1</v>
      </c>
      <c r="E850">
        <v>75</v>
      </c>
      <c r="F850">
        <v>10</v>
      </c>
      <c r="G850">
        <v>750</v>
      </c>
      <c r="H850">
        <v>100</v>
      </c>
      <c r="I850" t="s">
        <v>23</v>
      </c>
      <c r="J850" t="s">
        <v>37</v>
      </c>
    </row>
    <row r="851" spans="1:10" x14ac:dyDescent="0.25">
      <c r="A851" t="s">
        <v>151</v>
      </c>
      <c r="B851" s="1">
        <v>45285</v>
      </c>
      <c r="C851" t="s">
        <v>14</v>
      </c>
      <c r="D851">
        <v>2</v>
      </c>
      <c r="E851">
        <v>75</v>
      </c>
      <c r="F851">
        <v>8</v>
      </c>
      <c r="G851">
        <v>600</v>
      </c>
      <c r="H851">
        <v>95</v>
      </c>
      <c r="I851" t="s">
        <v>23</v>
      </c>
      <c r="J851" t="s">
        <v>37</v>
      </c>
    </row>
    <row r="852" spans="1:10" x14ac:dyDescent="0.25">
      <c r="A852" t="s">
        <v>151</v>
      </c>
      <c r="B852" s="1">
        <v>45285</v>
      </c>
      <c r="C852" t="s">
        <v>14</v>
      </c>
      <c r="D852">
        <v>3</v>
      </c>
      <c r="E852">
        <v>70</v>
      </c>
      <c r="F852">
        <v>8</v>
      </c>
      <c r="G852">
        <v>560</v>
      </c>
      <c r="H852">
        <v>88.67</v>
      </c>
      <c r="I852" t="s">
        <v>23</v>
      </c>
      <c r="J852" t="s">
        <v>37</v>
      </c>
    </row>
    <row r="853" spans="1:10" x14ac:dyDescent="0.25">
      <c r="A853" t="s">
        <v>151</v>
      </c>
      <c r="B853" s="1">
        <v>45285</v>
      </c>
      <c r="C853" t="s">
        <v>49</v>
      </c>
      <c r="D853">
        <v>1</v>
      </c>
      <c r="E853">
        <v>15</v>
      </c>
      <c r="F853">
        <v>20</v>
      </c>
      <c r="G853">
        <v>300</v>
      </c>
      <c r="H853">
        <v>25</v>
      </c>
      <c r="I853" t="s">
        <v>23</v>
      </c>
      <c r="J853" t="s">
        <v>38</v>
      </c>
    </row>
    <row r="854" spans="1:10" x14ac:dyDescent="0.25">
      <c r="A854" t="s">
        <v>151</v>
      </c>
      <c r="B854" s="1">
        <v>45285</v>
      </c>
      <c r="C854" t="s">
        <v>49</v>
      </c>
      <c r="D854">
        <v>2</v>
      </c>
      <c r="E854">
        <v>15</v>
      </c>
      <c r="F854">
        <v>21</v>
      </c>
      <c r="G854">
        <v>315</v>
      </c>
      <c r="H854">
        <v>25.5</v>
      </c>
      <c r="I854" t="s">
        <v>23</v>
      </c>
      <c r="J854" t="s">
        <v>38</v>
      </c>
    </row>
    <row r="855" spans="1:10" x14ac:dyDescent="0.25">
      <c r="A855" t="s">
        <v>151</v>
      </c>
      <c r="B855" s="1">
        <v>45285</v>
      </c>
      <c r="C855" t="s">
        <v>49</v>
      </c>
      <c r="D855">
        <v>3</v>
      </c>
      <c r="E855">
        <v>15</v>
      </c>
      <c r="F855">
        <v>20</v>
      </c>
      <c r="G855">
        <v>300</v>
      </c>
      <c r="H855">
        <v>25</v>
      </c>
      <c r="I855" t="s">
        <v>23</v>
      </c>
      <c r="J855" t="s">
        <v>38</v>
      </c>
    </row>
    <row r="856" spans="1:10" x14ac:dyDescent="0.25">
      <c r="A856" t="s">
        <v>152</v>
      </c>
      <c r="B856" s="1">
        <v>45286</v>
      </c>
      <c r="C856" t="s">
        <v>9</v>
      </c>
      <c r="D856">
        <v>1</v>
      </c>
      <c r="E856">
        <v>75</v>
      </c>
      <c r="F856">
        <v>15</v>
      </c>
      <c r="G856">
        <v>1125</v>
      </c>
      <c r="H856">
        <v>112.5</v>
      </c>
      <c r="I856" t="s">
        <v>21</v>
      </c>
      <c r="J856" t="s">
        <v>37</v>
      </c>
    </row>
    <row r="857" spans="1:10" x14ac:dyDescent="0.25">
      <c r="A857" t="s">
        <v>152</v>
      </c>
      <c r="B857" s="1">
        <v>45286</v>
      </c>
      <c r="C857" t="s">
        <v>9</v>
      </c>
      <c r="D857">
        <v>2</v>
      </c>
      <c r="E857">
        <v>80</v>
      </c>
      <c r="F857">
        <v>15</v>
      </c>
      <c r="G857">
        <v>1200</v>
      </c>
      <c r="H857">
        <v>120</v>
      </c>
      <c r="I857" t="s">
        <v>21</v>
      </c>
      <c r="J857" t="s">
        <v>37</v>
      </c>
    </row>
    <row r="858" spans="1:10" x14ac:dyDescent="0.25">
      <c r="A858" t="s">
        <v>152</v>
      </c>
      <c r="B858" s="1">
        <v>45286</v>
      </c>
      <c r="C858" t="s">
        <v>9</v>
      </c>
      <c r="D858">
        <v>3</v>
      </c>
      <c r="E858">
        <v>80</v>
      </c>
      <c r="F858">
        <v>15</v>
      </c>
      <c r="G858">
        <v>1200</v>
      </c>
      <c r="H858">
        <v>120</v>
      </c>
      <c r="I858" t="s">
        <v>21</v>
      </c>
      <c r="J858" t="s">
        <v>37</v>
      </c>
    </row>
    <row r="859" spans="1:10" x14ac:dyDescent="0.25">
      <c r="A859" t="s">
        <v>152</v>
      </c>
      <c r="B859" s="1">
        <v>45286</v>
      </c>
      <c r="C859" t="s">
        <v>16</v>
      </c>
      <c r="D859">
        <v>1</v>
      </c>
      <c r="E859">
        <v>50</v>
      </c>
      <c r="F859">
        <v>12</v>
      </c>
      <c r="G859">
        <v>600</v>
      </c>
      <c r="H859">
        <v>70</v>
      </c>
      <c r="I859" t="s">
        <v>21</v>
      </c>
      <c r="J859" t="s">
        <v>38</v>
      </c>
    </row>
    <row r="860" spans="1:10" x14ac:dyDescent="0.25">
      <c r="A860" t="s">
        <v>152</v>
      </c>
      <c r="B860" s="1">
        <v>45286</v>
      </c>
      <c r="C860" t="s">
        <v>16</v>
      </c>
      <c r="D860">
        <v>2</v>
      </c>
      <c r="E860">
        <v>60</v>
      </c>
      <c r="F860">
        <v>12</v>
      </c>
      <c r="G860">
        <v>720</v>
      </c>
      <c r="H860">
        <v>84</v>
      </c>
      <c r="I860" t="s">
        <v>21</v>
      </c>
      <c r="J860" t="s">
        <v>38</v>
      </c>
    </row>
    <row r="861" spans="1:10" x14ac:dyDescent="0.25">
      <c r="A861" t="s">
        <v>152</v>
      </c>
      <c r="B861" s="1">
        <v>45286</v>
      </c>
      <c r="C861" t="s">
        <v>19</v>
      </c>
      <c r="D861">
        <v>1</v>
      </c>
      <c r="E861">
        <v>176</v>
      </c>
      <c r="F861">
        <v>10</v>
      </c>
      <c r="G861">
        <v>1760</v>
      </c>
      <c r="H861">
        <v>234.67</v>
      </c>
      <c r="I861" t="s">
        <v>21</v>
      </c>
      <c r="J861" t="s">
        <v>37</v>
      </c>
    </row>
    <row r="862" spans="1:10" x14ac:dyDescent="0.25">
      <c r="A862" t="s">
        <v>152</v>
      </c>
      <c r="B862" s="1">
        <v>45286</v>
      </c>
      <c r="C862" t="s">
        <v>19</v>
      </c>
      <c r="D862">
        <v>2</v>
      </c>
      <c r="E862">
        <v>176</v>
      </c>
      <c r="F862">
        <v>13</v>
      </c>
      <c r="G862">
        <v>2288</v>
      </c>
      <c r="H862">
        <v>252.27</v>
      </c>
      <c r="I862" t="s">
        <v>21</v>
      </c>
      <c r="J862" t="s">
        <v>37</v>
      </c>
    </row>
    <row r="863" spans="1:10" x14ac:dyDescent="0.25">
      <c r="A863" t="s">
        <v>152</v>
      </c>
      <c r="B863" s="1">
        <v>45286</v>
      </c>
      <c r="C863" t="s">
        <v>19</v>
      </c>
      <c r="D863">
        <v>3</v>
      </c>
      <c r="E863">
        <v>176</v>
      </c>
      <c r="F863">
        <v>8</v>
      </c>
      <c r="G863">
        <v>1408</v>
      </c>
      <c r="H863">
        <v>222.93</v>
      </c>
      <c r="I863" t="s">
        <v>21</v>
      </c>
      <c r="J863" t="s">
        <v>37</v>
      </c>
    </row>
    <row r="864" spans="1:10" x14ac:dyDescent="0.25">
      <c r="A864" t="s">
        <v>152</v>
      </c>
      <c r="B864" s="1">
        <v>45286</v>
      </c>
      <c r="C864" t="s">
        <v>19</v>
      </c>
      <c r="D864">
        <v>4</v>
      </c>
      <c r="E864">
        <v>186</v>
      </c>
      <c r="F864">
        <v>9</v>
      </c>
      <c r="G864">
        <v>1674</v>
      </c>
      <c r="H864">
        <v>241.8</v>
      </c>
      <c r="I864" t="s">
        <v>21</v>
      </c>
      <c r="J864" t="s">
        <v>37</v>
      </c>
    </row>
    <row r="865" spans="1:10" x14ac:dyDescent="0.25">
      <c r="A865" t="s">
        <v>152</v>
      </c>
      <c r="B865" s="1">
        <v>45286</v>
      </c>
      <c r="C865" t="s">
        <v>47</v>
      </c>
      <c r="D865">
        <v>1</v>
      </c>
      <c r="E865">
        <v>50</v>
      </c>
      <c r="F865">
        <v>20</v>
      </c>
      <c r="G865">
        <v>1000</v>
      </c>
      <c r="H865">
        <v>83.33</v>
      </c>
      <c r="I865" t="s">
        <v>21</v>
      </c>
      <c r="J865" t="s">
        <v>38</v>
      </c>
    </row>
    <row r="866" spans="1:10" x14ac:dyDescent="0.25">
      <c r="A866" t="s">
        <v>152</v>
      </c>
      <c r="B866" s="1">
        <v>45286</v>
      </c>
      <c r="C866" t="s">
        <v>47</v>
      </c>
      <c r="D866">
        <v>2</v>
      </c>
      <c r="E866">
        <v>60</v>
      </c>
      <c r="F866">
        <v>20</v>
      </c>
      <c r="G866">
        <v>1200</v>
      </c>
      <c r="H866">
        <v>100</v>
      </c>
      <c r="I866" t="s">
        <v>21</v>
      </c>
      <c r="J866" t="s">
        <v>38</v>
      </c>
    </row>
    <row r="867" spans="1:10" x14ac:dyDescent="0.25">
      <c r="A867" t="s">
        <v>152</v>
      </c>
      <c r="B867" s="1">
        <v>45286</v>
      </c>
      <c r="C867" t="s">
        <v>47</v>
      </c>
      <c r="D867">
        <v>3</v>
      </c>
      <c r="E867">
        <v>60</v>
      </c>
      <c r="F867">
        <v>20</v>
      </c>
      <c r="G867">
        <v>1200</v>
      </c>
      <c r="H867">
        <v>100</v>
      </c>
      <c r="I867" t="s">
        <v>21</v>
      </c>
      <c r="J867" t="s">
        <v>38</v>
      </c>
    </row>
    <row r="868" spans="1:10" x14ac:dyDescent="0.25">
      <c r="A868" t="s">
        <v>152</v>
      </c>
      <c r="B868" s="1">
        <v>45286</v>
      </c>
      <c r="C868" t="s">
        <v>47</v>
      </c>
      <c r="D868">
        <v>4</v>
      </c>
      <c r="E868">
        <v>30</v>
      </c>
      <c r="F868">
        <v>20</v>
      </c>
      <c r="G868">
        <v>600</v>
      </c>
      <c r="H868">
        <v>50</v>
      </c>
      <c r="I868" t="s">
        <v>21</v>
      </c>
      <c r="J868" t="s">
        <v>38</v>
      </c>
    </row>
    <row r="869" spans="1:10" x14ac:dyDescent="0.25">
      <c r="A869" t="s">
        <v>152</v>
      </c>
      <c r="B869" s="1">
        <v>45286</v>
      </c>
      <c r="C869" t="s">
        <v>65</v>
      </c>
      <c r="D869">
        <v>1</v>
      </c>
      <c r="E869">
        <v>10</v>
      </c>
      <c r="F869">
        <v>25</v>
      </c>
      <c r="G869">
        <v>250</v>
      </c>
      <c r="H869">
        <v>18.329999999999998</v>
      </c>
      <c r="I869" t="s">
        <v>21</v>
      </c>
      <c r="J869" t="s">
        <v>38</v>
      </c>
    </row>
    <row r="870" spans="1:10" x14ac:dyDescent="0.25">
      <c r="A870" t="s">
        <v>152</v>
      </c>
      <c r="B870" s="1">
        <v>45286</v>
      </c>
      <c r="C870" t="s">
        <v>65</v>
      </c>
      <c r="D870">
        <v>2</v>
      </c>
      <c r="E870">
        <v>20</v>
      </c>
      <c r="F870">
        <v>20</v>
      </c>
      <c r="G870">
        <v>400</v>
      </c>
      <c r="H870">
        <v>33.33</v>
      </c>
      <c r="I870" t="s">
        <v>21</v>
      </c>
      <c r="J870" t="s">
        <v>38</v>
      </c>
    </row>
    <row r="871" spans="1:10" x14ac:dyDescent="0.25">
      <c r="A871" t="s">
        <v>152</v>
      </c>
      <c r="B871" s="1">
        <v>45286</v>
      </c>
      <c r="C871" t="s">
        <v>65</v>
      </c>
      <c r="D871">
        <v>3</v>
      </c>
      <c r="E871">
        <v>20</v>
      </c>
      <c r="F871">
        <v>20</v>
      </c>
      <c r="G871">
        <v>400</v>
      </c>
      <c r="H871">
        <v>33.33</v>
      </c>
      <c r="I871" t="s">
        <v>21</v>
      </c>
      <c r="J871" t="s">
        <v>38</v>
      </c>
    </row>
    <row r="872" spans="1:10" x14ac:dyDescent="0.25">
      <c r="A872" t="s">
        <v>152</v>
      </c>
      <c r="B872" s="1">
        <v>45286</v>
      </c>
      <c r="C872" t="s">
        <v>65</v>
      </c>
      <c r="D872">
        <v>4</v>
      </c>
      <c r="E872">
        <v>20</v>
      </c>
      <c r="F872">
        <v>15</v>
      </c>
      <c r="G872">
        <v>300</v>
      </c>
      <c r="H872">
        <v>30</v>
      </c>
      <c r="I872" t="s">
        <v>21</v>
      </c>
      <c r="J872" t="s">
        <v>38</v>
      </c>
    </row>
    <row r="873" spans="1:10" x14ac:dyDescent="0.25">
      <c r="A873" t="s">
        <v>153</v>
      </c>
      <c r="B873" s="1">
        <v>45287</v>
      </c>
      <c r="C873" t="s">
        <v>10</v>
      </c>
      <c r="D873">
        <v>1</v>
      </c>
      <c r="E873">
        <v>65</v>
      </c>
      <c r="F873">
        <v>15</v>
      </c>
      <c r="G873">
        <v>975</v>
      </c>
      <c r="H873">
        <v>97.5</v>
      </c>
      <c r="I873" t="s">
        <v>71</v>
      </c>
      <c r="J873" t="s">
        <v>38</v>
      </c>
    </row>
    <row r="874" spans="1:10" x14ac:dyDescent="0.25">
      <c r="A874" t="s">
        <v>153</v>
      </c>
      <c r="B874" s="1">
        <v>45287</v>
      </c>
      <c r="C874" t="s">
        <v>10</v>
      </c>
      <c r="D874">
        <v>2</v>
      </c>
      <c r="E874">
        <v>65</v>
      </c>
      <c r="F874">
        <v>15</v>
      </c>
      <c r="G874">
        <v>975</v>
      </c>
      <c r="H874">
        <v>97.5</v>
      </c>
      <c r="I874" t="s">
        <v>71</v>
      </c>
      <c r="J874" t="s">
        <v>38</v>
      </c>
    </row>
    <row r="875" spans="1:10" x14ac:dyDescent="0.25">
      <c r="A875" t="s">
        <v>153</v>
      </c>
      <c r="B875" s="1">
        <v>45287</v>
      </c>
      <c r="C875" t="s">
        <v>10</v>
      </c>
      <c r="D875">
        <v>3</v>
      </c>
      <c r="E875">
        <v>65</v>
      </c>
      <c r="F875">
        <v>12</v>
      </c>
      <c r="G875">
        <v>780</v>
      </c>
      <c r="H875">
        <v>91</v>
      </c>
      <c r="I875" t="s">
        <v>71</v>
      </c>
      <c r="J875" t="s">
        <v>38</v>
      </c>
    </row>
    <row r="876" spans="1:10" x14ac:dyDescent="0.25">
      <c r="A876" t="s">
        <v>153</v>
      </c>
      <c r="B876" s="1">
        <v>45287</v>
      </c>
      <c r="C876" t="s">
        <v>13</v>
      </c>
      <c r="D876">
        <v>1</v>
      </c>
      <c r="E876">
        <v>60</v>
      </c>
      <c r="F876">
        <v>20</v>
      </c>
      <c r="G876">
        <v>1200</v>
      </c>
      <c r="H876">
        <v>100</v>
      </c>
      <c r="I876" t="s">
        <v>71</v>
      </c>
      <c r="J876" t="s">
        <v>38</v>
      </c>
    </row>
    <row r="877" spans="1:10" x14ac:dyDescent="0.25">
      <c r="A877" t="s">
        <v>153</v>
      </c>
      <c r="B877" s="1">
        <v>45287</v>
      </c>
      <c r="C877" t="s">
        <v>13</v>
      </c>
      <c r="D877">
        <v>2</v>
      </c>
      <c r="E877">
        <v>70</v>
      </c>
      <c r="F877">
        <v>14</v>
      </c>
      <c r="G877">
        <v>980</v>
      </c>
      <c r="H877">
        <v>102.67</v>
      </c>
      <c r="I877" t="s">
        <v>71</v>
      </c>
      <c r="J877" t="s">
        <v>38</v>
      </c>
    </row>
    <row r="878" spans="1:10" x14ac:dyDescent="0.25">
      <c r="A878" t="s">
        <v>153</v>
      </c>
      <c r="B878" s="1">
        <v>45287</v>
      </c>
      <c r="C878" t="s">
        <v>13</v>
      </c>
      <c r="D878">
        <v>3</v>
      </c>
      <c r="E878">
        <v>70</v>
      </c>
      <c r="F878">
        <v>11</v>
      </c>
      <c r="G878">
        <v>770</v>
      </c>
      <c r="H878">
        <v>95.67</v>
      </c>
      <c r="I878" t="s">
        <v>71</v>
      </c>
      <c r="J878" t="s">
        <v>38</v>
      </c>
    </row>
    <row r="879" spans="1:10" x14ac:dyDescent="0.25">
      <c r="A879" t="s">
        <v>154</v>
      </c>
      <c r="B879" s="1">
        <v>45288</v>
      </c>
      <c r="C879" t="s">
        <v>72</v>
      </c>
      <c r="D879">
        <v>1</v>
      </c>
      <c r="E879">
        <v>1</v>
      </c>
      <c r="F879">
        <v>15</v>
      </c>
      <c r="G879">
        <v>15</v>
      </c>
      <c r="H879">
        <v>1.5</v>
      </c>
      <c r="I879" t="s">
        <v>22</v>
      </c>
      <c r="J879" t="s">
        <v>38</v>
      </c>
    </row>
    <row r="880" spans="1:10" x14ac:dyDescent="0.25">
      <c r="A880" t="s">
        <v>154</v>
      </c>
      <c r="B880" s="1">
        <v>45288</v>
      </c>
      <c r="C880" t="s">
        <v>72</v>
      </c>
      <c r="D880">
        <v>2</v>
      </c>
      <c r="E880">
        <v>1</v>
      </c>
      <c r="F880">
        <v>15</v>
      </c>
      <c r="G880">
        <v>15</v>
      </c>
      <c r="H880">
        <v>1.5</v>
      </c>
      <c r="I880" t="s">
        <v>22</v>
      </c>
      <c r="J880" t="s">
        <v>38</v>
      </c>
    </row>
    <row r="881" spans="1:10" x14ac:dyDescent="0.25">
      <c r="A881" t="s">
        <v>154</v>
      </c>
      <c r="B881" s="1">
        <v>45288</v>
      </c>
      <c r="C881" t="s">
        <v>17</v>
      </c>
      <c r="D881">
        <v>1</v>
      </c>
      <c r="E881">
        <v>45</v>
      </c>
      <c r="F881">
        <v>12</v>
      </c>
      <c r="G881">
        <v>540</v>
      </c>
      <c r="H881">
        <v>63</v>
      </c>
      <c r="I881" t="s">
        <v>22</v>
      </c>
      <c r="J881" t="s">
        <v>37</v>
      </c>
    </row>
    <row r="882" spans="1:10" x14ac:dyDescent="0.25">
      <c r="A882" t="s">
        <v>154</v>
      </c>
      <c r="B882" s="1">
        <v>45288</v>
      </c>
      <c r="C882" t="s">
        <v>17</v>
      </c>
      <c r="D882">
        <v>2</v>
      </c>
      <c r="E882">
        <v>95</v>
      </c>
      <c r="F882">
        <v>10</v>
      </c>
      <c r="G882">
        <v>950</v>
      </c>
      <c r="H882">
        <v>126.67</v>
      </c>
      <c r="I882" t="s">
        <v>22</v>
      </c>
      <c r="J882" t="s">
        <v>37</v>
      </c>
    </row>
    <row r="883" spans="1:10" x14ac:dyDescent="0.25">
      <c r="A883" t="s">
        <v>154</v>
      </c>
      <c r="B883" s="1">
        <v>45288</v>
      </c>
      <c r="C883" t="s">
        <v>17</v>
      </c>
      <c r="D883">
        <v>3</v>
      </c>
      <c r="E883">
        <v>135</v>
      </c>
      <c r="F883">
        <v>5</v>
      </c>
      <c r="G883">
        <v>675</v>
      </c>
      <c r="H883">
        <v>157.5</v>
      </c>
      <c r="I883" t="s">
        <v>22</v>
      </c>
      <c r="J883" t="s">
        <v>37</v>
      </c>
    </row>
    <row r="884" spans="1:10" x14ac:dyDescent="0.25">
      <c r="A884" t="s">
        <v>154</v>
      </c>
      <c r="B884" s="1">
        <v>45288</v>
      </c>
      <c r="C884" t="s">
        <v>17</v>
      </c>
      <c r="D884">
        <v>4</v>
      </c>
      <c r="E884">
        <v>155</v>
      </c>
      <c r="F884">
        <v>10</v>
      </c>
      <c r="G884">
        <v>1550</v>
      </c>
      <c r="H884">
        <v>206.67</v>
      </c>
      <c r="I884" t="s">
        <v>22</v>
      </c>
      <c r="J884" t="s">
        <v>37</v>
      </c>
    </row>
    <row r="885" spans="1:10" x14ac:dyDescent="0.25">
      <c r="A885" t="s">
        <v>154</v>
      </c>
      <c r="B885" s="1">
        <v>45288</v>
      </c>
      <c r="C885" t="s">
        <v>17</v>
      </c>
      <c r="D885">
        <v>5</v>
      </c>
      <c r="E885">
        <v>135</v>
      </c>
      <c r="F885">
        <v>10</v>
      </c>
      <c r="G885">
        <v>1350</v>
      </c>
      <c r="H885">
        <v>180</v>
      </c>
      <c r="I885" t="s">
        <v>22</v>
      </c>
      <c r="J885" t="s">
        <v>37</v>
      </c>
    </row>
    <row r="886" spans="1:10" x14ac:dyDescent="0.25">
      <c r="A886" t="s">
        <v>154</v>
      </c>
      <c r="B886" s="1">
        <v>45288</v>
      </c>
      <c r="C886" t="s">
        <v>11</v>
      </c>
      <c r="D886">
        <v>1</v>
      </c>
      <c r="E886">
        <v>185</v>
      </c>
      <c r="F886">
        <v>10</v>
      </c>
      <c r="G886">
        <v>1850</v>
      </c>
      <c r="H886">
        <v>246.67</v>
      </c>
      <c r="I886" t="s">
        <v>22</v>
      </c>
      <c r="J886" t="s">
        <v>37</v>
      </c>
    </row>
    <row r="887" spans="1:10" x14ac:dyDescent="0.25">
      <c r="A887" t="s">
        <v>154</v>
      </c>
      <c r="B887" s="1">
        <v>45288</v>
      </c>
      <c r="C887" t="s">
        <v>11</v>
      </c>
      <c r="D887">
        <v>2</v>
      </c>
      <c r="E887">
        <v>240</v>
      </c>
      <c r="F887">
        <v>10</v>
      </c>
      <c r="G887">
        <v>2400</v>
      </c>
      <c r="H887">
        <v>320</v>
      </c>
      <c r="I887" t="s">
        <v>22</v>
      </c>
      <c r="J887" t="s">
        <v>37</v>
      </c>
    </row>
    <row r="888" spans="1:10" x14ac:dyDescent="0.25">
      <c r="A888" t="s">
        <v>154</v>
      </c>
      <c r="B888" s="1">
        <v>45288</v>
      </c>
      <c r="C888" t="s">
        <v>11</v>
      </c>
      <c r="D888">
        <v>3</v>
      </c>
      <c r="E888">
        <v>185</v>
      </c>
      <c r="F888">
        <v>10</v>
      </c>
      <c r="G888">
        <v>1850</v>
      </c>
      <c r="H888">
        <v>246.67</v>
      </c>
      <c r="I888" t="s">
        <v>22</v>
      </c>
      <c r="J888" t="s">
        <v>37</v>
      </c>
    </row>
    <row r="889" spans="1:10" x14ac:dyDescent="0.25">
      <c r="A889" t="s">
        <v>155</v>
      </c>
      <c r="B889" s="1">
        <v>45289</v>
      </c>
      <c r="C889" t="s">
        <v>12</v>
      </c>
      <c r="D889">
        <v>1</v>
      </c>
      <c r="E889">
        <v>45</v>
      </c>
      <c r="F889">
        <v>15</v>
      </c>
      <c r="G889">
        <v>675</v>
      </c>
      <c r="H889">
        <v>67.5</v>
      </c>
      <c r="I889" t="s">
        <v>23</v>
      </c>
      <c r="J889" t="s">
        <v>37</v>
      </c>
    </row>
    <row r="890" spans="1:10" x14ac:dyDescent="0.25">
      <c r="A890" t="s">
        <v>155</v>
      </c>
      <c r="B890" s="1">
        <v>45289</v>
      </c>
      <c r="C890" t="s">
        <v>12</v>
      </c>
      <c r="D890">
        <v>2</v>
      </c>
      <c r="E890">
        <v>95</v>
      </c>
      <c r="F890">
        <v>12</v>
      </c>
      <c r="G890">
        <v>1140</v>
      </c>
      <c r="H890">
        <v>133</v>
      </c>
      <c r="I890" t="s">
        <v>23</v>
      </c>
      <c r="J890" t="s">
        <v>37</v>
      </c>
    </row>
    <row r="891" spans="1:10" x14ac:dyDescent="0.25">
      <c r="A891" t="s">
        <v>155</v>
      </c>
      <c r="B891" s="1">
        <v>45289</v>
      </c>
      <c r="C891" t="s">
        <v>12</v>
      </c>
      <c r="D891">
        <v>3</v>
      </c>
      <c r="E891">
        <v>135</v>
      </c>
      <c r="F891">
        <v>5</v>
      </c>
      <c r="G891">
        <v>675</v>
      </c>
      <c r="H891">
        <v>157.5</v>
      </c>
      <c r="I891" t="s">
        <v>23</v>
      </c>
      <c r="J891" t="s">
        <v>37</v>
      </c>
    </row>
    <row r="892" spans="1:10" x14ac:dyDescent="0.25">
      <c r="A892" t="s">
        <v>155</v>
      </c>
      <c r="B892" s="1">
        <v>45289</v>
      </c>
      <c r="C892" t="s">
        <v>12</v>
      </c>
      <c r="D892">
        <v>4</v>
      </c>
      <c r="E892">
        <v>160</v>
      </c>
      <c r="F892">
        <v>5</v>
      </c>
      <c r="G892">
        <v>800</v>
      </c>
      <c r="H892">
        <v>186.67</v>
      </c>
      <c r="I892" t="s">
        <v>23</v>
      </c>
      <c r="J892" t="s">
        <v>37</v>
      </c>
    </row>
    <row r="893" spans="1:10" x14ac:dyDescent="0.25">
      <c r="A893" t="s">
        <v>155</v>
      </c>
      <c r="B893" s="1">
        <v>45289</v>
      </c>
      <c r="C893" t="s">
        <v>12</v>
      </c>
      <c r="D893">
        <v>5</v>
      </c>
      <c r="E893">
        <v>135</v>
      </c>
      <c r="F893">
        <v>10</v>
      </c>
      <c r="G893">
        <v>1350</v>
      </c>
      <c r="H893">
        <v>180</v>
      </c>
      <c r="I893" t="s">
        <v>23</v>
      </c>
      <c r="J893" t="s">
        <v>37</v>
      </c>
    </row>
    <row r="894" spans="1:10" x14ac:dyDescent="0.25">
      <c r="A894" t="s">
        <v>155</v>
      </c>
      <c r="B894" s="1">
        <v>45289</v>
      </c>
      <c r="C894" t="s">
        <v>18</v>
      </c>
      <c r="D894">
        <v>1</v>
      </c>
      <c r="E894">
        <v>45</v>
      </c>
      <c r="F894">
        <v>12</v>
      </c>
      <c r="G894">
        <v>540</v>
      </c>
      <c r="H894">
        <v>63</v>
      </c>
      <c r="I894" t="s">
        <v>23</v>
      </c>
      <c r="J894" t="s">
        <v>38</v>
      </c>
    </row>
    <row r="895" spans="1:10" x14ac:dyDescent="0.25">
      <c r="A895" t="s">
        <v>155</v>
      </c>
      <c r="B895" s="1">
        <v>45289</v>
      </c>
      <c r="C895" t="s">
        <v>18</v>
      </c>
      <c r="D895">
        <v>2</v>
      </c>
      <c r="E895">
        <v>110</v>
      </c>
      <c r="F895">
        <v>10</v>
      </c>
      <c r="G895">
        <v>1100</v>
      </c>
      <c r="H895">
        <v>146.66999999999999</v>
      </c>
      <c r="I895" t="s">
        <v>23</v>
      </c>
      <c r="J895" t="s">
        <v>38</v>
      </c>
    </row>
    <row r="896" spans="1:10" x14ac:dyDescent="0.25">
      <c r="A896" t="s">
        <v>155</v>
      </c>
      <c r="B896" s="1">
        <v>45289</v>
      </c>
      <c r="C896" t="s">
        <v>18</v>
      </c>
      <c r="D896">
        <v>3</v>
      </c>
      <c r="E896">
        <v>115</v>
      </c>
      <c r="F896">
        <v>12</v>
      </c>
      <c r="G896">
        <v>1380</v>
      </c>
      <c r="H896">
        <v>161</v>
      </c>
      <c r="I896" t="s">
        <v>23</v>
      </c>
      <c r="J896" t="s">
        <v>38</v>
      </c>
    </row>
    <row r="897" spans="1:10" x14ac:dyDescent="0.25">
      <c r="A897" t="s">
        <v>155</v>
      </c>
      <c r="B897" s="1">
        <v>45289</v>
      </c>
      <c r="C897" t="s">
        <v>18</v>
      </c>
      <c r="D897">
        <v>4</v>
      </c>
      <c r="E897">
        <v>115</v>
      </c>
      <c r="F897">
        <v>8</v>
      </c>
      <c r="G897">
        <v>920</v>
      </c>
      <c r="H897">
        <v>145.66999999999999</v>
      </c>
      <c r="I897" t="s">
        <v>23</v>
      </c>
      <c r="J897" t="s">
        <v>38</v>
      </c>
    </row>
    <row r="898" spans="1:10" x14ac:dyDescent="0.25">
      <c r="A898" t="s">
        <v>155</v>
      </c>
      <c r="B898" s="1">
        <v>45289</v>
      </c>
      <c r="C898" t="s">
        <v>14</v>
      </c>
      <c r="D898">
        <v>1</v>
      </c>
      <c r="E898">
        <v>75</v>
      </c>
      <c r="F898">
        <v>10</v>
      </c>
      <c r="G898">
        <v>750</v>
      </c>
      <c r="H898">
        <v>100</v>
      </c>
      <c r="I898" t="s">
        <v>23</v>
      </c>
      <c r="J898" t="s">
        <v>37</v>
      </c>
    </row>
    <row r="899" spans="1:10" x14ac:dyDescent="0.25">
      <c r="A899" t="s">
        <v>155</v>
      </c>
      <c r="B899" s="1">
        <v>45289</v>
      </c>
      <c r="C899" t="s">
        <v>14</v>
      </c>
      <c r="D899">
        <v>2</v>
      </c>
      <c r="E899">
        <v>80</v>
      </c>
      <c r="F899">
        <v>9</v>
      </c>
      <c r="G899">
        <v>720</v>
      </c>
      <c r="H899">
        <v>104</v>
      </c>
      <c r="I899" t="s">
        <v>23</v>
      </c>
      <c r="J899" t="s">
        <v>37</v>
      </c>
    </row>
    <row r="900" spans="1:10" x14ac:dyDescent="0.25">
      <c r="A900" t="s">
        <v>155</v>
      </c>
      <c r="B900" s="1">
        <v>45289</v>
      </c>
      <c r="C900" t="s">
        <v>14</v>
      </c>
      <c r="D900">
        <v>3</v>
      </c>
      <c r="E900">
        <v>80</v>
      </c>
      <c r="F900">
        <v>7</v>
      </c>
      <c r="G900">
        <v>560</v>
      </c>
      <c r="H900">
        <v>98.67</v>
      </c>
      <c r="I900" t="s">
        <v>23</v>
      </c>
      <c r="J900" t="s">
        <v>37</v>
      </c>
    </row>
    <row r="901" spans="1:10" x14ac:dyDescent="0.25">
      <c r="A901" t="s">
        <v>155</v>
      </c>
      <c r="B901" s="1">
        <v>45289</v>
      </c>
      <c r="C901" t="s">
        <v>64</v>
      </c>
      <c r="D901">
        <v>1</v>
      </c>
      <c r="E901">
        <v>5</v>
      </c>
      <c r="F901">
        <v>10</v>
      </c>
      <c r="G901">
        <v>50</v>
      </c>
      <c r="H901">
        <v>6.67</v>
      </c>
      <c r="I901" t="s">
        <v>23</v>
      </c>
      <c r="J901" t="s">
        <v>38</v>
      </c>
    </row>
    <row r="902" spans="1:10" x14ac:dyDescent="0.25">
      <c r="A902" t="s">
        <v>155</v>
      </c>
      <c r="B902" s="1">
        <v>45289</v>
      </c>
      <c r="C902" t="s">
        <v>49</v>
      </c>
      <c r="D902">
        <v>1</v>
      </c>
      <c r="E902">
        <v>15</v>
      </c>
      <c r="F902">
        <v>20</v>
      </c>
      <c r="G902">
        <v>300</v>
      </c>
      <c r="H902">
        <v>25</v>
      </c>
      <c r="I902" t="s">
        <v>23</v>
      </c>
      <c r="J902" t="s">
        <v>38</v>
      </c>
    </row>
    <row r="903" spans="1:10" x14ac:dyDescent="0.25">
      <c r="A903" t="s">
        <v>155</v>
      </c>
      <c r="B903" s="1">
        <v>45289</v>
      </c>
      <c r="C903" t="s">
        <v>49</v>
      </c>
      <c r="D903">
        <v>2</v>
      </c>
      <c r="E903">
        <v>15</v>
      </c>
      <c r="F903">
        <v>20</v>
      </c>
      <c r="G903">
        <v>300</v>
      </c>
      <c r="H903">
        <v>25</v>
      </c>
      <c r="I903" t="s">
        <v>23</v>
      </c>
      <c r="J903" t="s">
        <v>38</v>
      </c>
    </row>
    <row r="904" spans="1:10" x14ac:dyDescent="0.25">
      <c r="A904" t="s">
        <v>155</v>
      </c>
      <c r="B904" s="1">
        <v>45289</v>
      </c>
      <c r="C904" t="s">
        <v>49</v>
      </c>
      <c r="D904">
        <v>3</v>
      </c>
      <c r="E904">
        <v>20</v>
      </c>
      <c r="F904">
        <v>15</v>
      </c>
      <c r="G904">
        <v>300</v>
      </c>
      <c r="H904">
        <v>30</v>
      </c>
      <c r="I904" t="s">
        <v>23</v>
      </c>
      <c r="J904" t="s">
        <v>38</v>
      </c>
    </row>
    <row r="905" spans="1:10" x14ac:dyDescent="0.25">
      <c r="A905" t="s">
        <v>156</v>
      </c>
      <c r="B905" s="1">
        <v>45290</v>
      </c>
      <c r="C905" t="s">
        <v>9</v>
      </c>
      <c r="D905">
        <v>1</v>
      </c>
      <c r="E905">
        <v>85</v>
      </c>
      <c r="F905">
        <v>15</v>
      </c>
      <c r="G905">
        <v>1275</v>
      </c>
      <c r="H905">
        <v>127.5</v>
      </c>
      <c r="I905" t="s">
        <v>21</v>
      </c>
      <c r="J905" t="s">
        <v>37</v>
      </c>
    </row>
    <row r="906" spans="1:10" x14ac:dyDescent="0.25">
      <c r="A906" t="s">
        <v>156</v>
      </c>
      <c r="B906" s="1">
        <v>45290</v>
      </c>
      <c r="C906" t="s">
        <v>9</v>
      </c>
      <c r="D906">
        <v>2</v>
      </c>
      <c r="E906">
        <v>85</v>
      </c>
      <c r="F906">
        <v>15</v>
      </c>
      <c r="G906">
        <v>1275</v>
      </c>
      <c r="H906">
        <v>127.5</v>
      </c>
      <c r="I906" t="s">
        <v>21</v>
      </c>
      <c r="J906" t="s">
        <v>37</v>
      </c>
    </row>
    <row r="907" spans="1:10" x14ac:dyDescent="0.25">
      <c r="A907" t="s">
        <v>156</v>
      </c>
      <c r="B907" s="1">
        <v>45290</v>
      </c>
      <c r="C907" t="s">
        <v>9</v>
      </c>
      <c r="D907">
        <v>3</v>
      </c>
      <c r="E907">
        <v>85</v>
      </c>
      <c r="F907">
        <v>14</v>
      </c>
      <c r="G907">
        <v>1190</v>
      </c>
      <c r="H907">
        <v>124.67</v>
      </c>
      <c r="I907" t="s">
        <v>21</v>
      </c>
      <c r="J907" t="s">
        <v>37</v>
      </c>
    </row>
    <row r="908" spans="1:10" x14ac:dyDescent="0.25">
      <c r="A908" t="s">
        <v>156</v>
      </c>
      <c r="B908" s="1">
        <v>45290</v>
      </c>
      <c r="C908" t="s">
        <v>16</v>
      </c>
      <c r="D908">
        <v>1</v>
      </c>
      <c r="E908">
        <v>60</v>
      </c>
      <c r="F908">
        <v>12</v>
      </c>
      <c r="G908">
        <v>720</v>
      </c>
      <c r="H908">
        <v>84</v>
      </c>
      <c r="I908" t="s">
        <v>21</v>
      </c>
      <c r="J908" t="s">
        <v>38</v>
      </c>
    </row>
    <row r="909" spans="1:10" x14ac:dyDescent="0.25">
      <c r="A909" t="s">
        <v>156</v>
      </c>
      <c r="B909" s="1">
        <v>45290</v>
      </c>
      <c r="C909" t="s">
        <v>16</v>
      </c>
      <c r="D909">
        <v>2</v>
      </c>
      <c r="E909">
        <v>65</v>
      </c>
      <c r="F909">
        <v>12</v>
      </c>
      <c r="G909">
        <v>780</v>
      </c>
      <c r="H909">
        <v>91</v>
      </c>
      <c r="I909" t="s">
        <v>21</v>
      </c>
      <c r="J909" t="s">
        <v>38</v>
      </c>
    </row>
    <row r="910" spans="1:10" x14ac:dyDescent="0.25">
      <c r="A910" t="s">
        <v>156</v>
      </c>
      <c r="B910" s="1">
        <v>45290</v>
      </c>
      <c r="C910" t="s">
        <v>16</v>
      </c>
      <c r="D910">
        <v>3</v>
      </c>
      <c r="E910">
        <v>65</v>
      </c>
      <c r="F910">
        <v>12</v>
      </c>
      <c r="G910">
        <v>780</v>
      </c>
      <c r="H910">
        <v>91</v>
      </c>
      <c r="I910" t="s">
        <v>21</v>
      </c>
      <c r="J910" t="s">
        <v>38</v>
      </c>
    </row>
    <row r="911" spans="1:10" x14ac:dyDescent="0.25">
      <c r="A911" t="s">
        <v>156</v>
      </c>
      <c r="B911" s="1">
        <v>45290</v>
      </c>
      <c r="C911" t="s">
        <v>19</v>
      </c>
      <c r="D911">
        <v>1</v>
      </c>
      <c r="E911">
        <v>176</v>
      </c>
      <c r="F911">
        <v>13</v>
      </c>
      <c r="G911">
        <v>2288</v>
      </c>
      <c r="H911">
        <v>252.27</v>
      </c>
      <c r="I911" t="s">
        <v>21</v>
      </c>
      <c r="J911" t="s">
        <v>37</v>
      </c>
    </row>
    <row r="912" spans="1:10" x14ac:dyDescent="0.25">
      <c r="A912" t="s">
        <v>156</v>
      </c>
      <c r="B912" s="1">
        <v>45290</v>
      </c>
      <c r="C912" t="s">
        <v>19</v>
      </c>
      <c r="D912">
        <v>2</v>
      </c>
      <c r="E912">
        <v>186</v>
      </c>
      <c r="F912">
        <v>11</v>
      </c>
      <c r="G912">
        <v>2046</v>
      </c>
      <c r="H912">
        <v>254.2</v>
      </c>
      <c r="I912" t="s">
        <v>21</v>
      </c>
      <c r="J912" t="s">
        <v>37</v>
      </c>
    </row>
    <row r="913" spans="1:10" x14ac:dyDescent="0.25">
      <c r="A913" t="s">
        <v>156</v>
      </c>
      <c r="B913" s="1">
        <v>45290</v>
      </c>
      <c r="C913" t="s">
        <v>19</v>
      </c>
      <c r="D913">
        <v>3</v>
      </c>
      <c r="E913">
        <v>176</v>
      </c>
      <c r="F913">
        <v>12</v>
      </c>
      <c r="G913">
        <v>2112</v>
      </c>
      <c r="H913">
        <v>246.4</v>
      </c>
      <c r="I913" t="s">
        <v>21</v>
      </c>
      <c r="J913" t="s">
        <v>37</v>
      </c>
    </row>
    <row r="914" spans="1:10" x14ac:dyDescent="0.25">
      <c r="A914" t="s">
        <v>156</v>
      </c>
      <c r="B914" s="1">
        <v>45290</v>
      </c>
      <c r="C914" t="s">
        <v>19</v>
      </c>
      <c r="D914">
        <v>4</v>
      </c>
      <c r="E914">
        <v>186</v>
      </c>
      <c r="F914">
        <v>8</v>
      </c>
      <c r="G914">
        <v>1488</v>
      </c>
      <c r="H914">
        <v>235.6</v>
      </c>
      <c r="I914" t="s">
        <v>21</v>
      </c>
      <c r="J914" t="s">
        <v>37</v>
      </c>
    </row>
    <row r="915" spans="1:10" x14ac:dyDescent="0.25">
      <c r="A915" t="s">
        <v>156</v>
      </c>
      <c r="B915" s="1">
        <v>45290</v>
      </c>
      <c r="C915" t="s">
        <v>47</v>
      </c>
      <c r="D915">
        <v>1</v>
      </c>
      <c r="E915">
        <v>60</v>
      </c>
      <c r="F915">
        <v>20</v>
      </c>
      <c r="G915">
        <v>1200</v>
      </c>
      <c r="H915">
        <v>100</v>
      </c>
      <c r="I915" t="s">
        <v>21</v>
      </c>
      <c r="J915" t="s">
        <v>38</v>
      </c>
    </row>
    <row r="916" spans="1:10" x14ac:dyDescent="0.25">
      <c r="A916" t="s">
        <v>156</v>
      </c>
      <c r="B916" s="1">
        <v>45290</v>
      </c>
      <c r="C916" t="s">
        <v>47</v>
      </c>
      <c r="D916">
        <v>2</v>
      </c>
      <c r="E916">
        <v>65</v>
      </c>
      <c r="F916">
        <v>20</v>
      </c>
      <c r="G916">
        <v>1300</v>
      </c>
      <c r="H916">
        <v>108.33</v>
      </c>
      <c r="I916" t="s">
        <v>21</v>
      </c>
      <c r="J916" t="s">
        <v>38</v>
      </c>
    </row>
    <row r="917" spans="1:10" x14ac:dyDescent="0.25">
      <c r="A917" t="s">
        <v>156</v>
      </c>
      <c r="B917" s="1">
        <v>45290</v>
      </c>
      <c r="C917" t="s">
        <v>47</v>
      </c>
      <c r="D917">
        <v>3</v>
      </c>
      <c r="E917">
        <v>65</v>
      </c>
      <c r="F917">
        <v>20</v>
      </c>
      <c r="G917">
        <v>1300</v>
      </c>
      <c r="H917">
        <v>108.33</v>
      </c>
      <c r="I917" t="s">
        <v>21</v>
      </c>
      <c r="J917" t="s">
        <v>38</v>
      </c>
    </row>
    <row r="918" spans="1:10" x14ac:dyDescent="0.25">
      <c r="A918" t="s">
        <v>156</v>
      </c>
      <c r="B918" s="1">
        <v>45290</v>
      </c>
      <c r="C918" t="s">
        <v>65</v>
      </c>
      <c r="D918">
        <v>1</v>
      </c>
      <c r="E918">
        <v>20</v>
      </c>
      <c r="F918">
        <v>15</v>
      </c>
      <c r="G918">
        <v>300</v>
      </c>
      <c r="H918">
        <v>30</v>
      </c>
      <c r="I918" t="s">
        <v>21</v>
      </c>
      <c r="J918" t="s">
        <v>38</v>
      </c>
    </row>
    <row r="919" spans="1:10" x14ac:dyDescent="0.25">
      <c r="A919" t="s">
        <v>156</v>
      </c>
      <c r="B919" s="1">
        <v>45290</v>
      </c>
      <c r="C919" t="s">
        <v>65</v>
      </c>
      <c r="D919">
        <v>2</v>
      </c>
      <c r="E919">
        <v>20</v>
      </c>
      <c r="F919">
        <v>15</v>
      </c>
      <c r="G919">
        <v>300</v>
      </c>
      <c r="H919">
        <v>30</v>
      </c>
      <c r="I919" t="s">
        <v>21</v>
      </c>
      <c r="J919" t="s">
        <v>38</v>
      </c>
    </row>
    <row r="920" spans="1:10" x14ac:dyDescent="0.25">
      <c r="A920" t="s">
        <v>156</v>
      </c>
      <c r="B920" s="1">
        <v>45290</v>
      </c>
      <c r="C920" t="s">
        <v>65</v>
      </c>
      <c r="D920">
        <v>3</v>
      </c>
      <c r="E920">
        <v>20</v>
      </c>
      <c r="F920">
        <v>15</v>
      </c>
      <c r="G920">
        <v>300</v>
      </c>
      <c r="H920">
        <v>30</v>
      </c>
      <c r="I920" t="s">
        <v>21</v>
      </c>
      <c r="J920" t="s">
        <v>38</v>
      </c>
    </row>
    <row r="921" spans="1:10" x14ac:dyDescent="0.25">
      <c r="A921" t="s">
        <v>157</v>
      </c>
      <c r="B921" s="1">
        <v>45291</v>
      </c>
      <c r="C921" t="s">
        <v>62</v>
      </c>
      <c r="D921">
        <v>1</v>
      </c>
      <c r="E921">
        <v>40</v>
      </c>
      <c r="F921">
        <v>15</v>
      </c>
      <c r="G921">
        <v>600</v>
      </c>
      <c r="H921">
        <v>60</v>
      </c>
      <c r="I921" t="s">
        <v>71</v>
      </c>
      <c r="J921" t="s">
        <v>38</v>
      </c>
    </row>
    <row r="922" spans="1:10" x14ac:dyDescent="0.25">
      <c r="A922" t="s">
        <v>157</v>
      </c>
      <c r="B922" s="1">
        <v>45291</v>
      </c>
      <c r="C922" t="s">
        <v>62</v>
      </c>
      <c r="D922">
        <v>2</v>
      </c>
      <c r="E922">
        <v>40</v>
      </c>
      <c r="F922">
        <v>15</v>
      </c>
      <c r="G922">
        <v>600</v>
      </c>
      <c r="H922">
        <v>60</v>
      </c>
      <c r="I922" t="s">
        <v>71</v>
      </c>
      <c r="J922" t="s">
        <v>38</v>
      </c>
    </row>
    <row r="923" spans="1:10" x14ac:dyDescent="0.25">
      <c r="A923" t="s">
        <v>157</v>
      </c>
      <c r="B923" s="1">
        <v>45291</v>
      </c>
      <c r="C923" t="s">
        <v>62</v>
      </c>
      <c r="D923">
        <v>3</v>
      </c>
      <c r="E923">
        <v>40</v>
      </c>
      <c r="F923">
        <v>15</v>
      </c>
      <c r="G923">
        <v>600</v>
      </c>
      <c r="H923">
        <v>60</v>
      </c>
      <c r="I923" t="s">
        <v>71</v>
      </c>
      <c r="J923" t="s">
        <v>38</v>
      </c>
    </row>
    <row r="924" spans="1:10" x14ac:dyDescent="0.25">
      <c r="A924" t="s">
        <v>157</v>
      </c>
      <c r="B924" s="1">
        <v>45291</v>
      </c>
      <c r="C924" t="s">
        <v>73</v>
      </c>
      <c r="D924">
        <v>1</v>
      </c>
      <c r="E924">
        <v>20</v>
      </c>
      <c r="F924">
        <v>15</v>
      </c>
      <c r="G924">
        <v>300</v>
      </c>
      <c r="H924">
        <v>30</v>
      </c>
      <c r="I924" t="s">
        <v>71</v>
      </c>
      <c r="J924" t="s">
        <v>38</v>
      </c>
    </row>
    <row r="925" spans="1:10" x14ac:dyDescent="0.25">
      <c r="A925" t="s">
        <v>157</v>
      </c>
      <c r="B925" s="1">
        <v>45291</v>
      </c>
      <c r="C925" t="s">
        <v>73</v>
      </c>
      <c r="D925">
        <v>2</v>
      </c>
      <c r="E925">
        <v>25</v>
      </c>
      <c r="F925">
        <v>15</v>
      </c>
      <c r="G925">
        <v>375</v>
      </c>
      <c r="H925">
        <v>37.5</v>
      </c>
      <c r="I925" t="s">
        <v>71</v>
      </c>
      <c r="J925" t="s">
        <v>38</v>
      </c>
    </row>
    <row r="926" spans="1:10" x14ac:dyDescent="0.25">
      <c r="A926" t="s">
        <v>157</v>
      </c>
      <c r="B926" s="1">
        <v>45291</v>
      </c>
      <c r="C926" t="s">
        <v>10</v>
      </c>
      <c r="D926">
        <v>1</v>
      </c>
      <c r="E926">
        <v>65</v>
      </c>
      <c r="F926">
        <v>12</v>
      </c>
      <c r="G926">
        <v>780</v>
      </c>
      <c r="H926">
        <v>91</v>
      </c>
      <c r="I926" t="s">
        <v>71</v>
      </c>
      <c r="J926" t="s">
        <v>38</v>
      </c>
    </row>
    <row r="927" spans="1:10" x14ac:dyDescent="0.25">
      <c r="A927" t="s">
        <v>157</v>
      </c>
      <c r="B927" s="1">
        <v>45291</v>
      </c>
      <c r="C927" t="s">
        <v>10</v>
      </c>
      <c r="D927">
        <v>2</v>
      </c>
      <c r="E927">
        <v>75</v>
      </c>
      <c r="F927">
        <v>12</v>
      </c>
      <c r="G927">
        <v>900</v>
      </c>
      <c r="H927">
        <v>105</v>
      </c>
      <c r="I927" t="s">
        <v>71</v>
      </c>
      <c r="J927" t="s">
        <v>38</v>
      </c>
    </row>
    <row r="928" spans="1:10" x14ac:dyDescent="0.25">
      <c r="A928" t="s">
        <v>157</v>
      </c>
      <c r="B928" s="1">
        <v>45291</v>
      </c>
      <c r="C928" t="s">
        <v>10</v>
      </c>
      <c r="D928">
        <v>3</v>
      </c>
      <c r="E928">
        <v>75</v>
      </c>
      <c r="F928">
        <v>12</v>
      </c>
      <c r="G928">
        <v>900</v>
      </c>
      <c r="H928">
        <v>105</v>
      </c>
      <c r="I928" t="s">
        <v>71</v>
      </c>
      <c r="J928" t="s">
        <v>38</v>
      </c>
    </row>
    <row r="929" spans="1:10" x14ac:dyDescent="0.25">
      <c r="A929" t="s">
        <v>157</v>
      </c>
      <c r="B929" s="1">
        <v>45291</v>
      </c>
      <c r="C929" t="s">
        <v>13</v>
      </c>
      <c r="D929">
        <v>1</v>
      </c>
      <c r="E929">
        <v>65</v>
      </c>
      <c r="F929">
        <v>12</v>
      </c>
      <c r="G929">
        <v>780</v>
      </c>
      <c r="H929">
        <v>91</v>
      </c>
      <c r="I929" t="s">
        <v>71</v>
      </c>
      <c r="J929" t="s">
        <v>38</v>
      </c>
    </row>
    <row r="930" spans="1:10" x14ac:dyDescent="0.25">
      <c r="A930" t="s">
        <v>157</v>
      </c>
      <c r="B930" s="1">
        <v>45291</v>
      </c>
      <c r="C930" t="s">
        <v>13</v>
      </c>
      <c r="D930">
        <v>2</v>
      </c>
      <c r="E930">
        <v>75</v>
      </c>
      <c r="F930">
        <v>10</v>
      </c>
      <c r="G930">
        <v>750</v>
      </c>
      <c r="H930">
        <v>100</v>
      </c>
      <c r="I930" t="s">
        <v>71</v>
      </c>
      <c r="J930" t="s">
        <v>38</v>
      </c>
    </row>
    <row r="931" spans="1:10" x14ac:dyDescent="0.25">
      <c r="A931" t="s">
        <v>157</v>
      </c>
      <c r="B931" s="1">
        <v>45291</v>
      </c>
      <c r="C931" t="s">
        <v>13</v>
      </c>
      <c r="D931">
        <v>3</v>
      </c>
      <c r="E931">
        <v>70</v>
      </c>
      <c r="F931">
        <v>10</v>
      </c>
      <c r="G931">
        <v>700</v>
      </c>
      <c r="H931">
        <v>93.33</v>
      </c>
      <c r="I931" t="s">
        <v>71</v>
      </c>
      <c r="J931" t="s">
        <v>38</v>
      </c>
    </row>
    <row r="932" spans="1:10" x14ac:dyDescent="0.25">
      <c r="A932" t="s">
        <v>157</v>
      </c>
      <c r="B932" s="1">
        <v>45291</v>
      </c>
      <c r="C932" t="s">
        <v>46</v>
      </c>
      <c r="D932">
        <v>1</v>
      </c>
      <c r="E932">
        <v>20</v>
      </c>
      <c r="F932">
        <v>20</v>
      </c>
      <c r="G932">
        <v>400</v>
      </c>
      <c r="H932">
        <v>33.33</v>
      </c>
      <c r="I932" t="s">
        <v>71</v>
      </c>
      <c r="J932" t="s">
        <v>38</v>
      </c>
    </row>
    <row r="933" spans="1:10" x14ac:dyDescent="0.25">
      <c r="A933" t="s">
        <v>157</v>
      </c>
      <c r="B933" s="1">
        <v>45291</v>
      </c>
      <c r="C933" t="s">
        <v>46</v>
      </c>
      <c r="D933">
        <v>2</v>
      </c>
      <c r="E933">
        <v>25</v>
      </c>
      <c r="F933">
        <v>15</v>
      </c>
      <c r="G933">
        <v>375</v>
      </c>
      <c r="H933">
        <v>37.5</v>
      </c>
      <c r="I933" t="s">
        <v>71</v>
      </c>
      <c r="J933" t="s">
        <v>38</v>
      </c>
    </row>
    <row r="934" spans="1:10" x14ac:dyDescent="0.25">
      <c r="A934" t="s">
        <v>158</v>
      </c>
      <c r="B934" s="1">
        <v>45292</v>
      </c>
      <c r="C934" t="s">
        <v>20</v>
      </c>
      <c r="D934">
        <v>1</v>
      </c>
      <c r="E934">
        <v>185</v>
      </c>
      <c r="F934">
        <v>5</v>
      </c>
      <c r="G934">
        <v>925</v>
      </c>
      <c r="H934">
        <v>215.83</v>
      </c>
      <c r="I934" t="s">
        <v>22</v>
      </c>
      <c r="J934" t="s">
        <v>38</v>
      </c>
    </row>
    <row r="935" spans="1:10" x14ac:dyDescent="0.25">
      <c r="A935" t="s">
        <v>158</v>
      </c>
      <c r="B935" s="1">
        <v>45292</v>
      </c>
      <c r="C935" t="s">
        <v>20</v>
      </c>
      <c r="D935">
        <v>2</v>
      </c>
      <c r="E935">
        <v>225</v>
      </c>
      <c r="F935">
        <v>5</v>
      </c>
      <c r="G935">
        <v>1125</v>
      </c>
      <c r="H935">
        <v>262.5</v>
      </c>
      <c r="I935" t="s">
        <v>22</v>
      </c>
      <c r="J935" t="s">
        <v>38</v>
      </c>
    </row>
    <row r="936" spans="1:10" x14ac:dyDescent="0.25">
      <c r="A936" t="s">
        <v>158</v>
      </c>
      <c r="B936" s="1">
        <v>45292</v>
      </c>
      <c r="C936" t="s">
        <v>20</v>
      </c>
      <c r="D936">
        <v>3</v>
      </c>
      <c r="E936">
        <v>275</v>
      </c>
      <c r="F936">
        <v>5</v>
      </c>
      <c r="G936">
        <v>1375</v>
      </c>
      <c r="H936">
        <v>320.83</v>
      </c>
      <c r="I936" t="s">
        <v>22</v>
      </c>
      <c r="J936" t="s">
        <v>38</v>
      </c>
    </row>
    <row r="937" spans="1:10" x14ac:dyDescent="0.25">
      <c r="A937" t="s">
        <v>158</v>
      </c>
      <c r="B937" s="1">
        <v>45292</v>
      </c>
      <c r="C937" t="s">
        <v>20</v>
      </c>
      <c r="D937">
        <v>4</v>
      </c>
      <c r="E937">
        <v>285</v>
      </c>
      <c r="F937">
        <v>5</v>
      </c>
      <c r="G937">
        <v>1425</v>
      </c>
      <c r="H937">
        <v>332.5</v>
      </c>
      <c r="I937" t="s">
        <v>22</v>
      </c>
      <c r="J937" t="s">
        <v>38</v>
      </c>
    </row>
    <row r="938" spans="1:10" x14ac:dyDescent="0.25">
      <c r="A938" t="s">
        <v>158</v>
      </c>
      <c r="B938" s="1">
        <v>45292</v>
      </c>
      <c r="C938" t="s">
        <v>17</v>
      </c>
      <c r="D938">
        <v>1</v>
      </c>
      <c r="E938">
        <v>45</v>
      </c>
      <c r="F938">
        <v>12</v>
      </c>
      <c r="G938">
        <v>540</v>
      </c>
      <c r="H938">
        <v>63</v>
      </c>
      <c r="I938" t="s">
        <v>22</v>
      </c>
      <c r="J938" t="s">
        <v>37</v>
      </c>
    </row>
    <row r="939" spans="1:10" x14ac:dyDescent="0.25">
      <c r="A939" t="s">
        <v>158</v>
      </c>
      <c r="B939" s="1">
        <v>45292</v>
      </c>
      <c r="C939" t="s">
        <v>17</v>
      </c>
      <c r="D939">
        <v>2</v>
      </c>
      <c r="E939">
        <v>95</v>
      </c>
      <c r="F939">
        <v>12</v>
      </c>
      <c r="G939">
        <v>1140</v>
      </c>
      <c r="H939">
        <v>133</v>
      </c>
      <c r="I939" t="s">
        <v>22</v>
      </c>
      <c r="J939" t="s">
        <v>37</v>
      </c>
    </row>
    <row r="940" spans="1:10" x14ac:dyDescent="0.25">
      <c r="A940" t="s">
        <v>158</v>
      </c>
      <c r="B940" s="1">
        <v>45292</v>
      </c>
      <c r="C940" t="s">
        <v>17</v>
      </c>
      <c r="D940">
        <v>3</v>
      </c>
      <c r="E940">
        <v>135</v>
      </c>
      <c r="F940">
        <v>6</v>
      </c>
      <c r="G940">
        <v>810</v>
      </c>
      <c r="H940">
        <v>162</v>
      </c>
      <c r="I940" t="s">
        <v>22</v>
      </c>
      <c r="J940" t="s">
        <v>37</v>
      </c>
    </row>
    <row r="941" spans="1:10" x14ac:dyDescent="0.25">
      <c r="A941" t="s">
        <v>158</v>
      </c>
      <c r="B941" s="1">
        <v>45292</v>
      </c>
      <c r="C941" t="s">
        <v>17</v>
      </c>
      <c r="D941">
        <v>4</v>
      </c>
      <c r="E941">
        <v>160</v>
      </c>
      <c r="F941">
        <v>10</v>
      </c>
      <c r="G941">
        <v>1600</v>
      </c>
      <c r="H941">
        <v>213.33</v>
      </c>
      <c r="I941" t="s">
        <v>22</v>
      </c>
      <c r="J941" t="s">
        <v>37</v>
      </c>
    </row>
    <row r="942" spans="1:10" x14ac:dyDescent="0.25">
      <c r="A942" t="s">
        <v>158</v>
      </c>
      <c r="B942" s="1">
        <v>45292</v>
      </c>
      <c r="C942" t="s">
        <v>17</v>
      </c>
      <c r="D942">
        <v>5</v>
      </c>
      <c r="E942">
        <v>135</v>
      </c>
      <c r="F942">
        <v>8</v>
      </c>
      <c r="G942">
        <v>1080</v>
      </c>
      <c r="H942">
        <v>171</v>
      </c>
      <c r="I942" t="s">
        <v>22</v>
      </c>
      <c r="J942" t="s">
        <v>37</v>
      </c>
    </row>
    <row r="943" spans="1:10" x14ac:dyDescent="0.25">
      <c r="A943" t="s">
        <v>159</v>
      </c>
      <c r="B943" s="1">
        <v>45293</v>
      </c>
      <c r="C943" t="s">
        <v>12</v>
      </c>
      <c r="D943">
        <v>1</v>
      </c>
      <c r="E943">
        <v>45</v>
      </c>
      <c r="F943">
        <v>12</v>
      </c>
      <c r="G943">
        <v>540</v>
      </c>
      <c r="H943">
        <v>63</v>
      </c>
      <c r="I943" t="s">
        <v>23</v>
      </c>
      <c r="J943" t="s">
        <v>37</v>
      </c>
    </row>
    <row r="944" spans="1:10" x14ac:dyDescent="0.25">
      <c r="A944" t="s">
        <v>159</v>
      </c>
      <c r="B944" s="1">
        <v>45293</v>
      </c>
      <c r="C944" t="s">
        <v>12</v>
      </c>
      <c r="D944">
        <v>2</v>
      </c>
      <c r="E944">
        <v>95</v>
      </c>
      <c r="F944">
        <v>12</v>
      </c>
      <c r="G944">
        <v>1140</v>
      </c>
      <c r="H944">
        <v>133</v>
      </c>
      <c r="I944" t="s">
        <v>23</v>
      </c>
      <c r="J944" t="s">
        <v>37</v>
      </c>
    </row>
    <row r="945" spans="1:10" x14ac:dyDescent="0.25">
      <c r="A945" t="s">
        <v>159</v>
      </c>
      <c r="B945" s="1">
        <v>45293</v>
      </c>
      <c r="C945" t="s">
        <v>12</v>
      </c>
      <c r="D945">
        <v>3</v>
      </c>
      <c r="E945">
        <v>135</v>
      </c>
      <c r="F945">
        <v>7</v>
      </c>
      <c r="G945">
        <v>945</v>
      </c>
      <c r="H945">
        <v>166.5</v>
      </c>
      <c r="I945" t="s">
        <v>23</v>
      </c>
      <c r="J945" t="s">
        <v>37</v>
      </c>
    </row>
    <row r="946" spans="1:10" x14ac:dyDescent="0.25">
      <c r="A946" t="s">
        <v>159</v>
      </c>
      <c r="B946" s="1">
        <v>45293</v>
      </c>
      <c r="C946" t="s">
        <v>12</v>
      </c>
      <c r="D946">
        <v>4</v>
      </c>
      <c r="E946">
        <v>165</v>
      </c>
      <c r="F946">
        <v>4</v>
      </c>
      <c r="G946">
        <v>660</v>
      </c>
      <c r="H946">
        <v>187</v>
      </c>
      <c r="I946" t="s">
        <v>23</v>
      </c>
      <c r="J946" t="s">
        <v>37</v>
      </c>
    </row>
    <row r="947" spans="1:10" x14ac:dyDescent="0.25">
      <c r="A947" t="s">
        <v>159</v>
      </c>
      <c r="B947" s="1">
        <v>45293</v>
      </c>
      <c r="C947" t="s">
        <v>18</v>
      </c>
      <c r="D947">
        <v>1</v>
      </c>
      <c r="E947">
        <v>45</v>
      </c>
      <c r="F947">
        <v>15</v>
      </c>
      <c r="G947">
        <v>675</v>
      </c>
      <c r="H947">
        <v>67.5</v>
      </c>
      <c r="I947" t="s">
        <v>23</v>
      </c>
      <c r="J947" t="s">
        <v>38</v>
      </c>
    </row>
    <row r="948" spans="1:10" x14ac:dyDescent="0.25">
      <c r="A948" t="s">
        <v>159</v>
      </c>
      <c r="B948" s="1">
        <v>45293</v>
      </c>
      <c r="C948" t="s">
        <v>18</v>
      </c>
      <c r="D948">
        <v>2</v>
      </c>
      <c r="E948">
        <v>110</v>
      </c>
      <c r="F948">
        <v>10</v>
      </c>
      <c r="G948">
        <v>1100</v>
      </c>
      <c r="H948">
        <v>146.66999999999999</v>
      </c>
      <c r="I948" t="s">
        <v>23</v>
      </c>
      <c r="J948" t="s">
        <v>38</v>
      </c>
    </row>
    <row r="949" spans="1:10" x14ac:dyDescent="0.25">
      <c r="A949" t="s">
        <v>159</v>
      </c>
      <c r="B949" s="1">
        <v>45293</v>
      </c>
      <c r="C949" t="s">
        <v>18</v>
      </c>
      <c r="D949">
        <v>3</v>
      </c>
      <c r="E949">
        <v>120</v>
      </c>
      <c r="F949">
        <v>9</v>
      </c>
      <c r="G949">
        <v>1080</v>
      </c>
      <c r="H949">
        <v>156</v>
      </c>
      <c r="I949" t="s">
        <v>23</v>
      </c>
      <c r="J949" t="s">
        <v>38</v>
      </c>
    </row>
    <row r="950" spans="1:10" x14ac:dyDescent="0.25">
      <c r="A950" t="s">
        <v>159</v>
      </c>
      <c r="B950" s="1">
        <v>45293</v>
      </c>
      <c r="C950" t="s">
        <v>18</v>
      </c>
      <c r="D950">
        <v>4</v>
      </c>
      <c r="E950">
        <v>115</v>
      </c>
      <c r="F950">
        <v>8</v>
      </c>
      <c r="G950">
        <v>920</v>
      </c>
      <c r="H950">
        <v>145.66999999999999</v>
      </c>
      <c r="I950" t="s">
        <v>23</v>
      </c>
      <c r="J950" t="s">
        <v>38</v>
      </c>
    </row>
    <row r="951" spans="1:10" x14ac:dyDescent="0.25">
      <c r="A951" t="s">
        <v>159</v>
      </c>
      <c r="B951" s="1">
        <v>45293</v>
      </c>
      <c r="C951" t="s">
        <v>14</v>
      </c>
      <c r="D951">
        <v>1</v>
      </c>
      <c r="E951">
        <v>85</v>
      </c>
      <c r="F951">
        <v>7</v>
      </c>
      <c r="G951">
        <v>595</v>
      </c>
      <c r="H951">
        <v>104.83</v>
      </c>
      <c r="I951" t="s">
        <v>23</v>
      </c>
      <c r="J951" t="s">
        <v>37</v>
      </c>
    </row>
    <row r="952" spans="1:10" x14ac:dyDescent="0.25">
      <c r="A952" t="s">
        <v>159</v>
      </c>
      <c r="B952" s="1">
        <v>45293</v>
      </c>
      <c r="C952" t="s">
        <v>14</v>
      </c>
      <c r="D952">
        <v>2</v>
      </c>
      <c r="E952">
        <v>75</v>
      </c>
      <c r="F952">
        <v>10</v>
      </c>
      <c r="G952">
        <v>750</v>
      </c>
      <c r="H952">
        <v>100</v>
      </c>
      <c r="I952" t="s">
        <v>23</v>
      </c>
      <c r="J952" t="s">
        <v>37</v>
      </c>
    </row>
    <row r="953" spans="1:10" x14ac:dyDescent="0.25">
      <c r="A953" t="s">
        <v>159</v>
      </c>
      <c r="B953" s="1">
        <v>45293</v>
      </c>
      <c r="C953" t="s">
        <v>14</v>
      </c>
      <c r="D953">
        <v>3</v>
      </c>
      <c r="E953">
        <v>75</v>
      </c>
      <c r="F953">
        <v>9</v>
      </c>
      <c r="G953">
        <v>675</v>
      </c>
      <c r="H953">
        <v>97.5</v>
      </c>
      <c r="I953" t="s">
        <v>23</v>
      </c>
      <c r="J953" t="s">
        <v>37</v>
      </c>
    </row>
    <row r="954" spans="1:10" x14ac:dyDescent="0.25">
      <c r="A954" t="s">
        <v>159</v>
      </c>
      <c r="B954" s="1">
        <v>45293</v>
      </c>
      <c r="C954" t="s">
        <v>49</v>
      </c>
      <c r="D954">
        <v>1</v>
      </c>
      <c r="E954">
        <v>15</v>
      </c>
      <c r="F954">
        <v>20</v>
      </c>
      <c r="G954">
        <v>300</v>
      </c>
      <c r="H954">
        <v>25</v>
      </c>
      <c r="I954" t="s">
        <v>23</v>
      </c>
      <c r="J954" t="s">
        <v>38</v>
      </c>
    </row>
    <row r="955" spans="1:10" x14ac:dyDescent="0.25">
      <c r="A955" t="s">
        <v>159</v>
      </c>
      <c r="B955" s="1">
        <v>45293</v>
      </c>
      <c r="C955" t="s">
        <v>49</v>
      </c>
      <c r="D955">
        <v>2</v>
      </c>
      <c r="E955">
        <v>15</v>
      </c>
      <c r="F955">
        <v>20</v>
      </c>
      <c r="G955">
        <v>300</v>
      </c>
      <c r="H955">
        <v>25</v>
      </c>
      <c r="I955" t="s">
        <v>23</v>
      </c>
      <c r="J955" t="s">
        <v>38</v>
      </c>
    </row>
    <row r="956" spans="1:10" x14ac:dyDescent="0.25">
      <c r="A956" t="s">
        <v>159</v>
      </c>
      <c r="B956" s="1">
        <v>45293</v>
      </c>
      <c r="C956" t="s">
        <v>49</v>
      </c>
      <c r="D956">
        <v>3</v>
      </c>
      <c r="E956">
        <v>18</v>
      </c>
      <c r="F956">
        <v>20</v>
      </c>
      <c r="G956">
        <v>360</v>
      </c>
      <c r="H956">
        <v>30</v>
      </c>
      <c r="I956" t="s">
        <v>23</v>
      </c>
      <c r="J956" t="s">
        <v>38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4211E-5884-4CCD-9A22-C1ADA25449A9}">
  <sheetPr codeName="Sheet2"/>
  <dimension ref="A1:Z115"/>
  <sheetViews>
    <sheetView topLeftCell="A31" workbookViewId="0">
      <selection activeCell="Z58" sqref="Z58"/>
    </sheetView>
  </sheetViews>
  <sheetFormatPr defaultRowHeight="15" x14ac:dyDescent="0.25"/>
  <cols>
    <col min="1" max="1" width="13.140625" style="1" bestFit="1" customWidth="1"/>
    <col min="2" max="2" width="12.85546875" bestFit="1" customWidth="1"/>
    <col min="3" max="3" width="7" bestFit="1" customWidth="1"/>
    <col min="4" max="4" width="15.28515625" bestFit="1" customWidth="1"/>
    <col min="5" max="5" width="16.28515625" bestFit="1" customWidth="1"/>
    <col min="6" max="7" width="6" bestFit="1" customWidth="1"/>
    <col min="8" max="8" width="5.5703125" bestFit="1" customWidth="1"/>
    <col min="9" max="9" width="7.7109375" bestFit="1" customWidth="1"/>
    <col min="10" max="10" width="13.42578125" bestFit="1" customWidth="1"/>
    <col min="11" max="11" width="16.28515625" bestFit="1" customWidth="1"/>
    <col min="12" max="12" width="4.42578125" bestFit="1" customWidth="1"/>
    <col min="13" max="13" width="5.28515625" bestFit="1" customWidth="1"/>
    <col min="14" max="14" width="5.5703125" bestFit="1" customWidth="1"/>
    <col min="15" max="15" width="11.28515625" bestFit="1" customWidth="1"/>
    <col min="16" max="16" width="15.42578125" bestFit="1" customWidth="1"/>
    <col min="17" max="17" width="16.7109375" bestFit="1" customWidth="1"/>
    <col min="18" max="18" width="17.42578125" bestFit="1" customWidth="1"/>
    <col min="19" max="24" width="7.7109375" bestFit="1" customWidth="1"/>
    <col min="25" max="25" width="13.5703125" bestFit="1" customWidth="1"/>
    <col min="26" max="26" width="10.7109375" bestFit="1" customWidth="1"/>
    <col min="27" max="39" width="7.7109375" bestFit="1" customWidth="1"/>
    <col min="40" max="51" width="8.7109375" bestFit="1" customWidth="1"/>
    <col min="52" max="54" width="7.7109375" bestFit="1" customWidth="1"/>
    <col min="55" max="66" width="8.7109375" bestFit="1" customWidth="1"/>
    <col min="67" max="70" width="7.7109375" bestFit="1" customWidth="1"/>
    <col min="71" max="80" width="8.7109375" bestFit="1" customWidth="1"/>
    <col min="81" max="81" width="11.28515625" bestFit="1" customWidth="1"/>
    <col min="82" max="83" width="4" bestFit="1" customWidth="1"/>
    <col min="84" max="104" width="5" bestFit="1" customWidth="1"/>
    <col min="105" max="105" width="9.28515625" bestFit="1" customWidth="1"/>
    <col min="106" max="106" width="7.140625" bestFit="1" customWidth="1"/>
    <col min="107" max="156" width="4" bestFit="1" customWidth="1"/>
    <col min="157" max="167" width="5" bestFit="1" customWidth="1"/>
    <col min="168" max="168" width="10.140625" bestFit="1" customWidth="1"/>
    <col min="169" max="169" width="11.28515625" bestFit="1" customWidth="1"/>
  </cols>
  <sheetData>
    <row r="1" spans="1:2" x14ac:dyDescent="0.25">
      <c r="A1"/>
    </row>
    <row r="2" spans="1:2" x14ac:dyDescent="0.25">
      <c r="A2"/>
    </row>
    <row r="3" spans="1:2" x14ac:dyDescent="0.25">
      <c r="A3" s="2" t="s">
        <v>7</v>
      </c>
      <c r="B3" t="s">
        <v>8</v>
      </c>
    </row>
    <row r="4" spans="1:2" x14ac:dyDescent="0.25">
      <c r="A4" s="52" t="s">
        <v>89</v>
      </c>
      <c r="B4" s="77">
        <v>3480</v>
      </c>
    </row>
    <row r="5" spans="1:2" x14ac:dyDescent="0.25">
      <c r="A5" s="52" t="s">
        <v>91</v>
      </c>
      <c r="B5" s="77">
        <v>3270</v>
      </c>
    </row>
    <row r="6" spans="1:2" x14ac:dyDescent="0.25">
      <c r="A6" s="52" t="s">
        <v>94</v>
      </c>
      <c r="B6" s="77">
        <v>3385</v>
      </c>
    </row>
    <row r="7" spans="1:2" x14ac:dyDescent="0.25">
      <c r="A7" s="52" t="s">
        <v>97</v>
      </c>
      <c r="B7" s="77">
        <v>3640</v>
      </c>
    </row>
    <row r="8" spans="1:2" x14ac:dyDescent="0.25">
      <c r="A8" s="52" t="s">
        <v>100</v>
      </c>
      <c r="B8" s="77">
        <v>4490</v>
      </c>
    </row>
    <row r="9" spans="1:2" x14ac:dyDescent="0.25">
      <c r="A9" s="52" t="s">
        <v>103</v>
      </c>
      <c r="B9" s="77">
        <v>2740</v>
      </c>
    </row>
    <row r="10" spans="1:2" x14ac:dyDescent="0.25">
      <c r="A10" s="52" t="s">
        <v>106</v>
      </c>
      <c r="B10" s="77">
        <v>2560</v>
      </c>
    </row>
    <row r="11" spans="1:2" x14ac:dyDescent="0.25">
      <c r="A11" s="52" t="s">
        <v>109</v>
      </c>
      <c r="B11" s="77">
        <v>4140</v>
      </c>
    </row>
    <row r="12" spans="1:2" x14ac:dyDescent="0.25">
      <c r="A12" s="52" t="s">
        <v>113</v>
      </c>
      <c r="B12" s="77">
        <v>5710</v>
      </c>
    </row>
    <row r="13" spans="1:2" x14ac:dyDescent="0.25">
      <c r="A13" s="52" t="s">
        <v>115</v>
      </c>
      <c r="B13" s="77">
        <v>5600</v>
      </c>
    </row>
    <row r="14" spans="1:2" x14ac:dyDescent="0.25">
      <c r="A14" s="52" t="s">
        <v>117</v>
      </c>
      <c r="B14" s="77">
        <v>6450</v>
      </c>
    </row>
    <row r="15" spans="1:2" x14ac:dyDescent="0.25">
      <c r="A15" s="52" t="s">
        <v>119</v>
      </c>
      <c r="B15" s="77">
        <v>2625</v>
      </c>
    </row>
    <row r="16" spans="1:2" x14ac:dyDescent="0.25">
      <c r="A16" s="52" t="s">
        <v>122</v>
      </c>
      <c r="B16" s="77">
        <v>1885</v>
      </c>
    </row>
    <row r="17" spans="1:8" x14ac:dyDescent="0.25">
      <c r="A17" s="52" t="s">
        <v>125</v>
      </c>
      <c r="B17" s="77">
        <v>2375</v>
      </c>
    </row>
    <row r="18" spans="1:8" x14ac:dyDescent="0.25">
      <c r="A18" s="52" t="s">
        <v>130</v>
      </c>
      <c r="B18" s="77">
        <v>3880</v>
      </c>
    </row>
    <row r="19" spans="1:8" x14ac:dyDescent="0.25">
      <c r="A19" s="52" t="s">
        <v>132</v>
      </c>
      <c r="B19" s="77">
        <v>5540</v>
      </c>
    </row>
    <row r="20" spans="1:8" x14ac:dyDescent="0.25">
      <c r="A20" s="52" t="s">
        <v>134</v>
      </c>
      <c r="B20" s="77">
        <v>5555</v>
      </c>
    </row>
    <row r="21" spans="1:8" x14ac:dyDescent="0.25">
      <c r="A21" s="52" t="s">
        <v>137</v>
      </c>
      <c r="B21" s="77">
        <v>5825</v>
      </c>
      <c r="D21" s="2" t="s">
        <v>31</v>
      </c>
      <c r="E21" s="2" t="s">
        <v>25</v>
      </c>
    </row>
    <row r="22" spans="1:8" x14ac:dyDescent="0.25">
      <c r="A22" s="52" t="s">
        <v>139</v>
      </c>
      <c r="B22" s="77">
        <v>5665</v>
      </c>
      <c r="D22" s="2" t="s">
        <v>7</v>
      </c>
      <c r="E22" t="s">
        <v>22</v>
      </c>
      <c r="F22" t="s">
        <v>21</v>
      </c>
      <c r="G22" t="s">
        <v>23</v>
      </c>
      <c r="H22" t="s">
        <v>71</v>
      </c>
    </row>
    <row r="23" spans="1:8" x14ac:dyDescent="0.25">
      <c r="A23" s="52" t="s">
        <v>142</v>
      </c>
      <c r="B23" s="77">
        <v>4370</v>
      </c>
      <c r="D23" s="52" t="s">
        <v>87</v>
      </c>
      <c r="E23" s="77"/>
      <c r="F23" s="77">
        <v>3405</v>
      </c>
      <c r="G23" s="77"/>
      <c r="H23" s="77"/>
    </row>
    <row r="24" spans="1:8" x14ac:dyDescent="0.25">
      <c r="A24" s="52" t="s">
        <v>145</v>
      </c>
      <c r="B24" s="77">
        <v>4560</v>
      </c>
      <c r="D24" s="52" t="s">
        <v>88</v>
      </c>
      <c r="E24" s="77">
        <v>3355</v>
      </c>
      <c r="F24" s="77"/>
      <c r="G24" s="77"/>
      <c r="H24" s="77"/>
    </row>
    <row r="25" spans="1:8" x14ac:dyDescent="0.25">
      <c r="A25" s="52" t="s">
        <v>148</v>
      </c>
      <c r="B25" s="77">
        <v>4260</v>
      </c>
      <c r="D25" s="52" t="s">
        <v>89</v>
      </c>
      <c r="E25" s="77"/>
      <c r="F25" s="77"/>
      <c r="G25" s="77">
        <v>6460</v>
      </c>
      <c r="H25" s="77"/>
    </row>
    <row r="26" spans="1:8" x14ac:dyDescent="0.25">
      <c r="A26" s="52" t="s">
        <v>151</v>
      </c>
      <c r="B26" s="77">
        <v>4265</v>
      </c>
      <c r="D26" s="52" t="s">
        <v>90</v>
      </c>
      <c r="E26" s="77">
        <v>2850</v>
      </c>
      <c r="F26" s="77"/>
      <c r="G26" s="77"/>
      <c r="H26" s="77"/>
    </row>
    <row r="27" spans="1:8" x14ac:dyDescent="0.25">
      <c r="A27" s="52" t="s">
        <v>155</v>
      </c>
      <c r="B27" s="77">
        <v>4640</v>
      </c>
      <c r="D27" s="52" t="s">
        <v>91</v>
      </c>
      <c r="E27" s="77"/>
      <c r="F27" s="77"/>
      <c r="G27" s="77">
        <v>6730</v>
      </c>
      <c r="H27" s="77"/>
    </row>
    <row r="28" spans="1:8" x14ac:dyDescent="0.25">
      <c r="A28" s="52" t="s">
        <v>159</v>
      </c>
      <c r="B28" s="77">
        <v>3285</v>
      </c>
      <c r="D28" s="52" t="s">
        <v>92</v>
      </c>
      <c r="E28" s="77"/>
      <c r="F28" s="77">
        <v>3725</v>
      </c>
      <c r="G28" s="77"/>
      <c r="H28" s="77"/>
    </row>
    <row r="29" spans="1:8" x14ac:dyDescent="0.25">
      <c r="A29"/>
      <c r="D29" s="52" t="s">
        <v>93</v>
      </c>
      <c r="E29" s="77">
        <v>6610</v>
      </c>
      <c r="F29" s="77"/>
      <c r="G29" s="77"/>
      <c r="H29" s="77"/>
    </row>
    <row r="30" spans="1:8" x14ac:dyDescent="0.25">
      <c r="A30"/>
      <c r="D30" s="52" t="s">
        <v>94</v>
      </c>
      <c r="E30" s="77"/>
      <c r="F30" s="77"/>
      <c r="G30" s="77">
        <v>7045</v>
      </c>
      <c r="H30" s="77"/>
    </row>
    <row r="31" spans="1:8" x14ac:dyDescent="0.25">
      <c r="A31"/>
      <c r="D31" s="52" t="s">
        <v>95</v>
      </c>
      <c r="E31" s="77"/>
      <c r="F31" s="77">
        <v>4255</v>
      </c>
      <c r="G31" s="77"/>
      <c r="H31" s="77"/>
    </row>
    <row r="32" spans="1:8" x14ac:dyDescent="0.25">
      <c r="A32"/>
      <c r="D32" s="52" t="s">
        <v>96</v>
      </c>
      <c r="E32" s="77">
        <v>7030</v>
      </c>
      <c r="F32" s="77"/>
      <c r="G32" s="77"/>
      <c r="H32" s="77"/>
    </row>
    <row r="33" spans="1:15" x14ac:dyDescent="0.25">
      <c r="A33"/>
      <c r="D33" s="52" t="s">
        <v>97</v>
      </c>
      <c r="E33" s="77"/>
      <c r="F33" s="77"/>
      <c r="G33" s="77">
        <v>7295</v>
      </c>
      <c r="H33" s="77"/>
    </row>
    <row r="34" spans="1:15" x14ac:dyDescent="0.25">
      <c r="A34"/>
      <c r="D34" s="52" t="s">
        <v>98</v>
      </c>
      <c r="E34" s="77"/>
      <c r="F34" s="77">
        <v>5695</v>
      </c>
      <c r="G34" s="77"/>
      <c r="H34" s="77"/>
    </row>
    <row r="35" spans="1:15" x14ac:dyDescent="0.25">
      <c r="A35"/>
      <c r="D35" s="52" t="s">
        <v>99</v>
      </c>
      <c r="E35" s="77">
        <v>8150</v>
      </c>
      <c r="F35" s="77"/>
      <c r="G35" s="77"/>
      <c r="H35" s="77"/>
    </row>
    <row r="36" spans="1:15" x14ac:dyDescent="0.25">
      <c r="A36"/>
      <c r="D36" s="52" t="s">
        <v>100</v>
      </c>
      <c r="E36" s="77"/>
      <c r="F36" s="77"/>
      <c r="G36" s="77">
        <v>8755</v>
      </c>
      <c r="H36" s="77"/>
    </row>
    <row r="37" spans="1:15" x14ac:dyDescent="0.25">
      <c r="A37"/>
      <c r="D37" s="52" t="s">
        <v>101</v>
      </c>
      <c r="E37" s="77"/>
      <c r="F37" s="77">
        <v>5650</v>
      </c>
      <c r="G37" s="77"/>
      <c r="H37" s="77"/>
    </row>
    <row r="38" spans="1:15" x14ac:dyDescent="0.25">
      <c r="A38"/>
      <c r="D38" s="52" t="s">
        <v>102</v>
      </c>
      <c r="E38" s="77">
        <v>9130</v>
      </c>
      <c r="F38" s="77"/>
      <c r="G38" s="77"/>
      <c r="H38" s="77"/>
    </row>
    <row r="39" spans="1:15" x14ac:dyDescent="0.25">
      <c r="A39"/>
      <c r="D39" s="52" t="s">
        <v>103</v>
      </c>
      <c r="E39" s="77"/>
      <c r="F39" s="77"/>
      <c r="G39" s="77">
        <v>9395</v>
      </c>
      <c r="H39" s="77"/>
    </row>
    <row r="40" spans="1:15" x14ac:dyDescent="0.25">
      <c r="A40"/>
      <c r="D40" s="52" t="s">
        <v>104</v>
      </c>
      <c r="E40" s="77"/>
      <c r="F40" s="77">
        <v>6105</v>
      </c>
      <c r="G40" s="77"/>
      <c r="H40" s="77"/>
      <c r="J40" s="2" t="s">
        <v>35</v>
      </c>
      <c r="K40" s="2" t="s">
        <v>25</v>
      </c>
    </row>
    <row r="41" spans="1:15" x14ac:dyDescent="0.25">
      <c r="A41"/>
      <c r="D41" s="52" t="s">
        <v>105</v>
      </c>
      <c r="E41" s="77">
        <v>10180</v>
      </c>
      <c r="F41" s="77"/>
      <c r="G41" s="77"/>
      <c r="H41" s="77"/>
      <c r="J41" s="2" t="s">
        <v>7</v>
      </c>
      <c r="K41" t="s">
        <v>22</v>
      </c>
      <c r="L41" t="s">
        <v>21</v>
      </c>
      <c r="M41" t="s">
        <v>23</v>
      </c>
      <c r="N41" t="s">
        <v>71</v>
      </c>
      <c r="O41" t="s">
        <v>34</v>
      </c>
    </row>
    <row r="42" spans="1:15" x14ac:dyDescent="0.25">
      <c r="A42"/>
      <c r="D42" s="52" t="s">
        <v>106</v>
      </c>
      <c r="E42" s="77"/>
      <c r="F42" s="77"/>
      <c r="G42" s="77">
        <v>9830</v>
      </c>
      <c r="H42" s="77"/>
      <c r="J42" s="16" t="s">
        <v>87</v>
      </c>
      <c r="K42" s="77"/>
      <c r="L42" s="77">
        <v>6</v>
      </c>
      <c r="M42" s="77"/>
      <c r="N42" s="77"/>
      <c r="O42" s="77">
        <v>6</v>
      </c>
    </row>
    <row r="43" spans="1:15" x14ac:dyDescent="0.25">
      <c r="A43"/>
      <c r="D43" s="52" t="s">
        <v>107</v>
      </c>
      <c r="E43" s="77"/>
      <c r="F43" s="77">
        <v>9875</v>
      </c>
      <c r="G43" s="77"/>
      <c r="H43" s="77"/>
      <c r="J43" s="16" t="s">
        <v>88</v>
      </c>
      <c r="K43" s="77">
        <v>3</v>
      </c>
      <c r="L43" s="77"/>
      <c r="M43" s="77"/>
      <c r="N43" s="77"/>
      <c r="O43" s="77">
        <v>3</v>
      </c>
    </row>
    <row r="44" spans="1:15" x14ac:dyDescent="0.25">
      <c r="A44"/>
      <c r="D44" s="52" t="s">
        <v>108</v>
      </c>
      <c r="E44" s="77">
        <v>11730</v>
      </c>
      <c r="F44" s="77"/>
      <c r="G44" s="77"/>
      <c r="H44" s="77"/>
      <c r="J44" s="16" t="s">
        <v>89</v>
      </c>
      <c r="K44" s="77"/>
      <c r="L44" s="77"/>
      <c r="M44" s="77">
        <v>13</v>
      </c>
      <c r="N44" s="77"/>
      <c r="O44" s="77">
        <v>13</v>
      </c>
    </row>
    <row r="45" spans="1:15" x14ac:dyDescent="0.25">
      <c r="A45"/>
      <c r="D45" s="52" t="s">
        <v>109</v>
      </c>
      <c r="E45" s="77"/>
      <c r="F45" s="77"/>
      <c r="G45" s="77">
        <v>11020</v>
      </c>
      <c r="H45" s="77"/>
      <c r="J45" s="16" t="s">
        <v>90</v>
      </c>
      <c r="K45" s="77">
        <v>2</v>
      </c>
      <c r="L45" s="77"/>
      <c r="M45" s="77"/>
      <c r="N45" s="77"/>
      <c r="O45" s="77">
        <v>2</v>
      </c>
    </row>
    <row r="46" spans="1:15" x14ac:dyDescent="0.25">
      <c r="A46"/>
      <c r="D46" s="52" t="s">
        <v>110</v>
      </c>
      <c r="E46" s="77"/>
      <c r="F46" s="77">
        <v>10275</v>
      </c>
      <c r="G46" s="77"/>
      <c r="H46" s="77"/>
      <c r="J46" s="16" t="s">
        <v>91</v>
      </c>
      <c r="K46" s="77"/>
      <c r="L46" s="77"/>
      <c r="M46" s="77">
        <v>13</v>
      </c>
      <c r="N46" s="77"/>
      <c r="O46" s="77">
        <v>13</v>
      </c>
    </row>
    <row r="47" spans="1:15" x14ac:dyDescent="0.25">
      <c r="A47"/>
      <c r="D47" s="52" t="s">
        <v>111</v>
      </c>
      <c r="E47" s="77">
        <v>11975</v>
      </c>
      <c r="F47" s="77"/>
      <c r="G47" s="77"/>
      <c r="H47" s="77"/>
      <c r="J47" s="16" t="s">
        <v>92</v>
      </c>
      <c r="K47" s="77"/>
      <c r="L47" s="77">
        <v>6</v>
      </c>
      <c r="M47" s="77"/>
      <c r="N47" s="77"/>
      <c r="O47" s="77">
        <v>6</v>
      </c>
    </row>
    <row r="48" spans="1:15" x14ac:dyDescent="0.25">
      <c r="A48"/>
      <c r="D48" s="52" t="s">
        <v>112</v>
      </c>
      <c r="E48" s="77">
        <v>13020</v>
      </c>
      <c r="F48" s="77"/>
      <c r="G48" s="77"/>
      <c r="H48" s="77"/>
      <c r="J48" s="16" t="s">
        <v>93</v>
      </c>
      <c r="K48" s="77">
        <v>8</v>
      </c>
      <c r="L48" s="77"/>
      <c r="M48" s="77"/>
      <c r="N48" s="77"/>
      <c r="O48" s="77">
        <v>8</v>
      </c>
    </row>
    <row r="49" spans="1:26" x14ac:dyDescent="0.25">
      <c r="A49"/>
      <c r="D49" s="52" t="s">
        <v>113</v>
      </c>
      <c r="E49" s="77"/>
      <c r="F49" s="77"/>
      <c r="G49" s="77">
        <v>11635</v>
      </c>
      <c r="H49" s="77"/>
      <c r="J49" s="16" t="s">
        <v>94</v>
      </c>
      <c r="K49" s="77"/>
      <c r="L49" s="77"/>
      <c r="M49" s="77">
        <v>13</v>
      </c>
      <c r="N49" s="77"/>
      <c r="O49" s="77">
        <v>13</v>
      </c>
    </row>
    <row r="50" spans="1:26" x14ac:dyDescent="0.25">
      <c r="A50"/>
      <c r="D50" s="52" t="s">
        <v>114</v>
      </c>
      <c r="E50" s="77">
        <v>13315</v>
      </c>
      <c r="F50" s="77"/>
      <c r="G50" s="77"/>
      <c r="H50" s="77"/>
      <c r="J50" s="16" t="s">
        <v>95</v>
      </c>
      <c r="K50" s="77"/>
      <c r="L50" s="77">
        <v>6</v>
      </c>
      <c r="M50" s="77"/>
      <c r="N50" s="77"/>
      <c r="O50" s="77">
        <v>6</v>
      </c>
    </row>
    <row r="51" spans="1:26" x14ac:dyDescent="0.25">
      <c r="A51"/>
      <c r="D51" s="52" t="s">
        <v>115</v>
      </c>
      <c r="E51" s="77"/>
      <c r="F51" s="77"/>
      <c r="G51" s="77">
        <v>11410</v>
      </c>
      <c r="H51" s="77"/>
      <c r="J51" s="16" t="s">
        <v>96</v>
      </c>
      <c r="K51" s="77">
        <v>8</v>
      </c>
      <c r="L51" s="77"/>
      <c r="M51" s="77"/>
      <c r="N51" s="77"/>
      <c r="O51" s="77">
        <v>8</v>
      </c>
    </row>
    <row r="52" spans="1:26" x14ac:dyDescent="0.25">
      <c r="A52"/>
      <c r="D52" s="52" t="s">
        <v>116</v>
      </c>
      <c r="E52" s="77"/>
      <c r="F52" s="77">
        <v>11516</v>
      </c>
      <c r="G52" s="77"/>
      <c r="H52" s="77"/>
      <c r="J52" s="16" t="s">
        <v>97</v>
      </c>
      <c r="K52" s="77"/>
      <c r="L52" s="77"/>
      <c r="M52" s="77">
        <v>14</v>
      </c>
      <c r="N52" s="77"/>
      <c r="O52" s="77">
        <v>14</v>
      </c>
    </row>
    <row r="53" spans="1:26" x14ac:dyDescent="0.25">
      <c r="A53"/>
      <c r="D53" s="52" t="s">
        <v>117</v>
      </c>
      <c r="E53" s="77"/>
      <c r="F53" s="77"/>
      <c r="G53" s="77">
        <v>12210</v>
      </c>
      <c r="H53" s="77"/>
      <c r="J53" s="16" t="s">
        <v>98</v>
      </c>
      <c r="K53" s="77"/>
      <c r="L53" s="77">
        <v>8</v>
      </c>
      <c r="M53" s="77"/>
      <c r="N53" s="77"/>
      <c r="O53" s="77">
        <v>8</v>
      </c>
    </row>
    <row r="54" spans="1:26" x14ac:dyDescent="0.25">
      <c r="A54"/>
      <c r="D54" s="52" t="s">
        <v>118</v>
      </c>
      <c r="E54" s="77">
        <v>13050</v>
      </c>
      <c r="F54" s="77"/>
      <c r="G54" s="77"/>
      <c r="H54" s="77"/>
      <c r="J54" s="16" t="s">
        <v>99</v>
      </c>
      <c r="K54" s="77">
        <v>9</v>
      </c>
      <c r="L54" s="77"/>
      <c r="M54" s="77"/>
      <c r="N54" s="77"/>
      <c r="O54" s="77">
        <v>9</v>
      </c>
      <c r="Q54" s="2" t="s">
        <v>36</v>
      </c>
      <c r="R54" t="s">
        <v>37</v>
      </c>
    </row>
    <row r="55" spans="1:26" x14ac:dyDescent="0.25">
      <c r="A55"/>
      <c r="D55" s="52" t="s">
        <v>119</v>
      </c>
      <c r="E55" s="77"/>
      <c r="F55" s="77"/>
      <c r="G55" s="77">
        <v>11865</v>
      </c>
      <c r="H55" s="77"/>
      <c r="J55" s="16" t="s">
        <v>100</v>
      </c>
      <c r="K55" s="77"/>
      <c r="L55" s="77"/>
      <c r="M55" s="77">
        <v>16</v>
      </c>
      <c r="N55" s="77"/>
      <c r="O55" s="77">
        <v>16</v>
      </c>
      <c r="Q55" s="2" t="s">
        <v>1</v>
      </c>
      <c r="R55" t="s">
        <v>9</v>
      </c>
    </row>
    <row r="56" spans="1:26" x14ac:dyDescent="0.25">
      <c r="A56"/>
      <c r="D56" s="52" t="s">
        <v>120</v>
      </c>
      <c r="E56" s="77"/>
      <c r="F56" s="77">
        <v>11311</v>
      </c>
      <c r="G56" s="77"/>
      <c r="H56" s="77"/>
      <c r="J56" s="16" t="s">
        <v>101</v>
      </c>
      <c r="K56" s="77"/>
      <c r="L56" s="77">
        <v>7</v>
      </c>
      <c r="M56" s="77"/>
      <c r="N56" s="77"/>
      <c r="O56" s="77">
        <v>7</v>
      </c>
      <c r="Y56" t="s">
        <v>70</v>
      </c>
      <c r="Z56" t="str">
        <f>R55</f>
        <v>Bent Over Rows</v>
      </c>
    </row>
    <row r="57" spans="1:26" x14ac:dyDescent="0.25">
      <c r="A57"/>
      <c r="D57" s="52" t="s">
        <v>121</v>
      </c>
      <c r="E57" s="77"/>
      <c r="F57" s="77">
        <v>15536</v>
      </c>
      <c r="G57" s="77"/>
      <c r="H57" s="77"/>
      <c r="J57" s="16" t="s">
        <v>102</v>
      </c>
      <c r="K57" s="77">
        <v>9</v>
      </c>
      <c r="L57" s="77"/>
      <c r="M57" s="77"/>
      <c r="N57" s="77"/>
      <c r="O57" s="77">
        <v>9</v>
      </c>
      <c r="Q57" s="2" t="s">
        <v>7</v>
      </c>
      <c r="R57" t="s">
        <v>67</v>
      </c>
      <c r="Y57" t="s">
        <v>69</v>
      </c>
      <c r="Z57">
        <f>MAX(R:R)</f>
        <v>15</v>
      </c>
    </row>
    <row r="58" spans="1:26" x14ac:dyDescent="0.25">
      <c r="A58"/>
      <c r="D58" s="52" t="s">
        <v>122</v>
      </c>
      <c r="E58" s="77"/>
      <c r="F58" s="77"/>
      <c r="G58" s="77">
        <v>8790</v>
      </c>
      <c r="H58" s="77"/>
      <c r="J58" s="16" t="s">
        <v>103</v>
      </c>
      <c r="K58" s="77"/>
      <c r="L58" s="77"/>
      <c r="M58" s="77">
        <v>18</v>
      </c>
      <c r="N58" s="77"/>
      <c r="O58" s="77">
        <v>18</v>
      </c>
      <c r="Q58" s="16" t="s">
        <v>87</v>
      </c>
      <c r="R58" s="77">
        <v>10</v>
      </c>
      <c r="Y58" t="s">
        <v>33</v>
      </c>
      <c r="Z58" s="38" t="str">
        <f>_xlfn.XLOOKUP(Z57,R:R,Q:Q,,,-1)</f>
        <v>12/30/2023</v>
      </c>
    </row>
    <row r="59" spans="1:26" x14ac:dyDescent="0.25">
      <c r="A59"/>
      <c r="D59" s="52" t="s">
        <v>123</v>
      </c>
      <c r="E59" s="77">
        <v>14290</v>
      </c>
      <c r="F59" s="77"/>
      <c r="G59" s="77"/>
      <c r="H59" s="77"/>
      <c r="J59" s="16" t="s">
        <v>104</v>
      </c>
      <c r="K59" s="77"/>
      <c r="L59" s="77">
        <v>8</v>
      </c>
      <c r="M59" s="77"/>
      <c r="N59" s="77"/>
      <c r="O59" s="77">
        <v>8</v>
      </c>
      <c r="Q59" s="16" t="s">
        <v>92</v>
      </c>
      <c r="R59" s="77">
        <v>10</v>
      </c>
    </row>
    <row r="60" spans="1:26" x14ac:dyDescent="0.25">
      <c r="A60"/>
      <c r="D60" s="52" t="s">
        <v>124</v>
      </c>
      <c r="E60" s="77"/>
      <c r="F60" s="77">
        <v>17820</v>
      </c>
      <c r="G60" s="77"/>
      <c r="H60" s="77"/>
      <c r="J60" s="16" t="s">
        <v>105</v>
      </c>
      <c r="K60" s="77">
        <v>9</v>
      </c>
      <c r="L60" s="77"/>
      <c r="M60" s="77"/>
      <c r="N60" s="77"/>
      <c r="O60" s="77">
        <v>9</v>
      </c>
      <c r="Q60" s="16" t="s">
        <v>95</v>
      </c>
      <c r="R60" s="77">
        <v>12</v>
      </c>
    </row>
    <row r="61" spans="1:26" x14ac:dyDescent="0.25">
      <c r="A61"/>
      <c r="D61" s="52" t="s">
        <v>125</v>
      </c>
      <c r="E61" s="77"/>
      <c r="F61" s="77"/>
      <c r="G61" s="77">
        <v>10440</v>
      </c>
      <c r="H61" s="77"/>
      <c r="J61" s="16" t="s">
        <v>106</v>
      </c>
      <c r="K61" s="77"/>
      <c r="L61" s="77"/>
      <c r="M61" s="77">
        <v>18</v>
      </c>
      <c r="N61" s="77"/>
      <c r="O61" s="77">
        <v>18</v>
      </c>
      <c r="Q61" s="16" t="s">
        <v>98</v>
      </c>
      <c r="R61" s="77">
        <v>12</v>
      </c>
    </row>
    <row r="62" spans="1:26" x14ac:dyDescent="0.25">
      <c r="A62"/>
      <c r="D62" s="52" t="s">
        <v>126</v>
      </c>
      <c r="E62" s="77">
        <v>14490</v>
      </c>
      <c r="F62" s="77"/>
      <c r="G62" s="77"/>
      <c r="H62" s="77"/>
      <c r="J62" s="16" t="s">
        <v>107</v>
      </c>
      <c r="K62" s="77"/>
      <c r="L62" s="77">
        <v>12</v>
      </c>
      <c r="M62" s="77"/>
      <c r="N62" s="77"/>
      <c r="O62" s="77">
        <v>12</v>
      </c>
      <c r="Q62" s="16" t="s">
        <v>101</v>
      </c>
      <c r="R62" s="77">
        <v>15</v>
      </c>
    </row>
    <row r="63" spans="1:26" x14ac:dyDescent="0.25">
      <c r="A63"/>
      <c r="D63" s="52" t="s">
        <v>127</v>
      </c>
      <c r="E63" s="77"/>
      <c r="F63" s="77">
        <v>21984</v>
      </c>
      <c r="G63" s="77"/>
      <c r="H63" s="77"/>
      <c r="J63" s="16" t="s">
        <v>108</v>
      </c>
      <c r="K63" s="77">
        <v>10</v>
      </c>
      <c r="L63" s="77"/>
      <c r="M63" s="77"/>
      <c r="N63" s="77"/>
      <c r="O63" s="77">
        <v>10</v>
      </c>
      <c r="Q63" s="16" t="s">
        <v>104</v>
      </c>
      <c r="R63" s="77">
        <v>15</v>
      </c>
    </row>
    <row r="64" spans="1:26" x14ac:dyDescent="0.25">
      <c r="A64"/>
      <c r="D64" s="52" t="s">
        <v>128</v>
      </c>
      <c r="E64" s="77"/>
      <c r="F64" s="77"/>
      <c r="G64" s="77">
        <v>10320</v>
      </c>
      <c r="H64" s="77"/>
      <c r="J64" s="16" t="s">
        <v>109</v>
      </c>
      <c r="K64" s="77"/>
      <c r="L64" s="77"/>
      <c r="M64" s="77">
        <v>21</v>
      </c>
      <c r="N64" s="77"/>
      <c r="O64" s="77">
        <v>21</v>
      </c>
      <c r="Q64" s="16" t="s">
        <v>107</v>
      </c>
      <c r="R64" s="77">
        <v>15</v>
      </c>
    </row>
    <row r="65" spans="1:18" x14ac:dyDescent="0.25">
      <c r="A65"/>
      <c r="D65" s="52" t="s">
        <v>129</v>
      </c>
      <c r="E65" s="77">
        <v>14890</v>
      </c>
      <c r="F65" s="77"/>
      <c r="G65" s="77"/>
      <c r="H65" s="77"/>
      <c r="J65" s="16" t="s">
        <v>110</v>
      </c>
      <c r="K65" s="77"/>
      <c r="L65" s="77">
        <v>12</v>
      </c>
      <c r="M65" s="77"/>
      <c r="N65" s="77"/>
      <c r="O65" s="77">
        <v>12</v>
      </c>
      <c r="Q65" s="16" t="s">
        <v>110</v>
      </c>
      <c r="R65" s="77">
        <v>10</v>
      </c>
    </row>
    <row r="66" spans="1:18" x14ac:dyDescent="0.25">
      <c r="A66"/>
      <c r="D66" s="52" t="s">
        <v>130</v>
      </c>
      <c r="E66" s="77"/>
      <c r="F66" s="77"/>
      <c r="G66" s="77">
        <v>9540</v>
      </c>
      <c r="H66" s="77"/>
      <c r="J66" s="16" t="s">
        <v>111</v>
      </c>
      <c r="K66" s="77">
        <v>10</v>
      </c>
      <c r="L66" s="77"/>
      <c r="M66" s="77"/>
      <c r="N66" s="77"/>
      <c r="O66" s="77">
        <v>10</v>
      </c>
      <c r="Q66" s="16" t="s">
        <v>116</v>
      </c>
      <c r="R66" s="77">
        <v>12</v>
      </c>
    </row>
    <row r="67" spans="1:18" x14ac:dyDescent="0.25">
      <c r="A67"/>
      <c r="D67" s="52" t="s">
        <v>131</v>
      </c>
      <c r="E67" s="77">
        <v>16255</v>
      </c>
      <c r="F67" s="77"/>
      <c r="G67" s="77"/>
      <c r="H67" s="77"/>
      <c r="J67" s="16" t="s">
        <v>112</v>
      </c>
      <c r="K67" s="77">
        <v>11</v>
      </c>
      <c r="L67" s="77"/>
      <c r="M67" s="77"/>
      <c r="N67" s="77"/>
      <c r="O67" s="77">
        <v>11</v>
      </c>
      <c r="Q67" s="16" t="s">
        <v>127</v>
      </c>
      <c r="R67" s="77">
        <v>12</v>
      </c>
    </row>
    <row r="68" spans="1:18" x14ac:dyDescent="0.25">
      <c r="A68"/>
      <c r="D68" s="52" t="s">
        <v>132</v>
      </c>
      <c r="E68" s="77"/>
      <c r="F68" s="77"/>
      <c r="G68" s="77">
        <v>11985</v>
      </c>
      <c r="H68" s="77"/>
      <c r="J68" s="16" t="s">
        <v>113</v>
      </c>
      <c r="K68" s="77"/>
      <c r="L68" s="77"/>
      <c r="M68" s="77">
        <v>21</v>
      </c>
      <c r="N68" s="77"/>
      <c r="O68" s="77">
        <v>21</v>
      </c>
      <c r="Q68" s="16" t="s">
        <v>133</v>
      </c>
      <c r="R68" s="77">
        <v>15</v>
      </c>
    </row>
    <row r="69" spans="1:18" x14ac:dyDescent="0.25">
      <c r="A69"/>
      <c r="D69" s="52" t="s">
        <v>133</v>
      </c>
      <c r="E69" s="77"/>
      <c r="F69" s="77">
        <v>17511</v>
      </c>
      <c r="G69" s="77"/>
      <c r="H69" s="77"/>
      <c r="J69" s="16" t="s">
        <v>114</v>
      </c>
      <c r="K69" s="77">
        <v>10</v>
      </c>
      <c r="L69" s="77"/>
      <c r="M69" s="77"/>
      <c r="N69" s="77"/>
      <c r="O69" s="77">
        <v>10</v>
      </c>
      <c r="Q69" s="16" t="s">
        <v>136</v>
      </c>
      <c r="R69" s="77">
        <v>15</v>
      </c>
    </row>
    <row r="70" spans="1:18" x14ac:dyDescent="0.25">
      <c r="A70"/>
      <c r="D70" s="52" t="s">
        <v>134</v>
      </c>
      <c r="E70" s="77"/>
      <c r="F70" s="77"/>
      <c r="G70" s="77">
        <v>12345</v>
      </c>
      <c r="H70" s="77"/>
      <c r="J70" s="16" t="s">
        <v>115</v>
      </c>
      <c r="K70" s="77"/>
      <c r="L70" s="77"/>
      <c r="M70" s="77">
        <v>19</v>
      </c>
      <c r="N70" s="77"/>
      <c r="O70" s="77">
        <v>19</v>
      </c>
      <c r="Q70" s="16" t="s">
        <v>140</v>
      </c>
      <c r="R70" s="77">
        <v>15</v>
      </c>
    </row>
    <row r="71" spans="1:18" x14ac:dyDescent="0.25">
      <c r="A71"/>
      <c r="D71" s="52" t="s">
        <v>135</v>
      </c>
      <c r="E71" s="77">
        <v>12220</v>
      </c>
      <c r="F71" s="77"/>
      <c r="G71" s="77"/>
      <c r="H71" s="77"/>
      <c r="J71" s="16" t="s">
        <v>116</v>
      </c>
      <c r="K71" s="77"/>
      <c r="L71" s="77">
        <v>15</v>
      </c>
      <c r="M71" s="77"/>
      <c r="N71" s="77"/>
      <c r="O71" s="77">
        <v>15</v>
      </c>
      <c r="Q71" s="16" t="s">
        <v>143</v>
      </c>
      <c r="R71" s="77">
        <v>15</v>
      </c>
    </row>
    <row r="72" spans="1:18" x14ac:dyDescent="0.25">
      <c r="A72"/>
      <c r="D72" s="52" t="s">
        <v>136</v>
      </c>
      <c r="E72" s="77"/>
      <c r="F72" s="77">
        <v>18821</v>
      </c>
      <c r="G72" s="77"/>
      <c r="H72" s="77"/>
      <c r="J72" s="16" t="s">
        <v>117</v>
      </c>
      <c r="K72" s="77"/>
      <c r="L72" s="77"/>
      <c r="M72" s="77">
        <v>19</v>
      </c>
      <c r="N72" s="77"/>
      <c r="O72" s="77">
        <v>19</v>
      </c>
      <c r="Q72" s="16" t="s">
        <v>146</v>
      </c>
      <c r="R72" s="77">
        <v>15</v>
      </c>
    </row>
    <row r="73" spans="1:18" x14ac:dyDescent="0.25">
      <c r="A73"/>
      <c r="D73" s="52" t="s">
        <v>137</v>
      </c>
      <c r="E73" s="77"/>
      <c r="F73" s="77"/>
      <c r="G73" s="77">
        <v>11605</v>
      </c>
      <c r="H73" s="77"/>
      <c r="J73" s="16" t="s">
        <v>118</v>
      </c>
      <c r="K73" s="77">
        <v>10</v>
      </c>
      <c r="L73" s="77"/>
      <c r="M73" s="77"/>
      <c r="N73" s="77"/>
      <c r="O73" s="77">
        <v>10</v>
      </c>
      <c r="Q73" s="16" t="s">
        <v>149</v>
      </c>
      <c r="R73" s="77">
        <v>15</v>
      </c>
    </row>
    <row r="74" spans="1:18" x14ac:dyDescent="0.25">
      <c r="A74"/>
      <c r="D74" s="52" t="s">
        <v>138</v>
      </c>
      <c r="E74" s="77">
        <v>12345</v>
      </c>
      <c r="F74" s="77"/>
      <c r="G74" s="77"/>
      <c r="H74" s="77"/>
      <c r="J74" s="16" t="s">
        <v>119</v>
      </c>
      <c r="K74" s="77"/>
      <c r="L74" s="77"/>
      <c r="M74" s="77">
        <v>21</v>
      </c>
      <c r="N74" s="77"/>
      <c r="O74" s="77">
        <v>21</v>
      </c>
      <c r="Q74" s="16" t="s">
        <v>152</v>
      </c>
      <c r="R74" s="77">
        <v>15</v>
      </c>
    </row>
    <row r="75" spans="1:18" x14ac:dyDescent="0.25">
      <c r="A75"/>
      <c r="D75" s="52" t="s">
        <v>139</v>
      </c>
      <c r="E75" s="77"/>
      <c r="F75" s="77"/>
      <c r="G75" s="77">
        <v>11350</v>
      </c>
      <c r="H75" s="77"/>
      <c r="J75" s="16" t="s">
        <v>120</v>
      </c>
      <c r="K75" s="77"/>
      <c r="L75" s="77">
        <v>9</v>
      </c>
      <c r="M75" s="77"/>
      <c r="N75" s="77"/>
      <c r="O75" s="77">
        <v>9</v>
      </c>
      <c r="Q75" s="16" t="s">
        <v>156</v>
      </c>
      <c r="R75" s="77">
        <v>15</v>
      </c>
    </row>
    <row r="76" spans="1:18" x14ac:dyDescent="0.25">
      <c r="A76"/>
      <c r="D76" s="52" t="s">
        <v>140</v>
      </c>
      <c r="E76" s="77"/>
      <c r="F76" s="77">
        <v>19744</v>
      </c>
      <c r="G76" s="77"/>
      <c r="H76" s="77"/>
      <c r="J76" s="16" t="s">
        <v>121</v>
      </c>
      <c r="K76" s="77"/>
      <c r="L76" s="77">
        <v>13</v>
      </c>
      <c r="M76" s="77"/>
      <c r="N76" s="77"/>
      <c r="O76" s="77">
        <v>13</v>
      </c>
    </row>
    <row r="77" spans="1:18" x14ac:dyDescent="0.25">
      <c r="A77"/>
      <c r="D77" s="52" t="s">
        <v>141</v>
      </c>
      <c r="E77" s="77">
        <v>12630</v>
      </c>
      <c r="F77" s="77"/>
      <c r="G77" s="77"/>
      <c r="H77" s="77"/>
      <c r="J77" s="16" t="s">
        <v>122</v>
      </c>
      <c r="K77" s="77"/>
      <c r="L77" s="77"/>
      <c r="M77" s="77">
        <v>17</v>
      </c>
      <c r="N77" s="77"/>
      <c r="O77" s="77">
        <v>17</v>
      </c>
    </row>
    <row r="78" spans="1:18" x14ac:dyDescent="0.25">
      <c r="A78"/>
      <c r="D78" s="52" t="s">
        <v>142</v>
      </c>
      <c r="E78" s="77"/>
      <c r="F78" s="77"/>
      <c r="G78" s="77">
        <v>10645</v>
      </c>
      <c r="H78" s="77"/>
      <c r="J78" s="16" t="s">
        <v>123</v>
      </c>
      <c r="K78" s="77">
        <v>11</v>
      </c>
      <c r="L78" s="77"/>
      <c r="M78" s="77"/>
      <c r="N78" s="77"/>
      <c r="O78" s="77">
        <v>11</v>
      </c>
    </row>
    <row r="79" spans="1:18" x14ac:dyDescent="0.25">
      <c r="A79"/>
      <c r="D79" s="52" t="s">
        <v>143</v>
      </c>
      <c r="E79" s="77"/>
      <c r="F79" s="77">
        <v>20511</v>
      </c>
      <c r="G79" s="77"/>
      <c r="H79" s="77"/>
      <c r="J79" s="16" t="s">
        <v>124</v>
      </c>
      <c r="K79" s="77"/>
      <c r="L79" s="77">
        <v>17</v>
      </c>
      <c r="M79" s="77"/>
      <c r="N79" s="77"/>
      <c r="O79" s="77">
        <v>17</v>
      </c>
    </row>
    <row r="80" spans="1:18" x14ac:dyDescent="0.25">
      <c r="A80"/>
      <c r="D80" s="52" t="s">
        <v>144</v>
      </c>
      <c r="E80" s="77"/>
      <c r="F80" s="77"/>
      <c r="G80" s="77"/>
      <c r="H80" s="77">
        <v>2300</v>
      </c>
      <c r="J80" s="16" t="s">
        <v>125</v>
      </c>
      <c r="K80" s="77"/>
      <c r="L80" s="77"/>
      <c r="M80" s="77">
        <v>17</v>
      </c>
      <c r="N80" s="77"/>
      <c r="O80" s="77">
        <v>17</v>
      </c>
    </row>
    <row r="81" spans="1:15" x14ac:dyDescent="0.25">
      <c r="A81"/>
      <c r="D81" s="52" t="s">
        <v>145</v>
      </c>
      <c r="E81" s="77"/>
      <c r="F81" s="77"/>
      <c r="G81" s="77">
        <v>13100</v>
      </c>
      <c r="H81" s="77"/>
      <c r="J81" s="16" t="s">
        <v>126</v>
      </c>
      <c r="K81" s="77">
        <v>11</v>
      </c>
      <c r="L81" s="77"/>
      <c r="M81" s="77"/>
      <c r="N81" s="77"/>
      <c r="O81" s="77">
        <v>11</v>
      </c>
    </row>
    <row r="82" spans="1:15" x14ac:dyDescent="0.25">
      <c r="A82"/>
      <c r="D82" s="52" t="s">
        <v>146</v>
      </c>
      <c r="E82" s="77"/>
      <c r="F82" s="77">
        <v>18580</v>
      </c>
      <c r="G82" s="77"/>
      <c r="H82" s="77"/>
      <c r="J82" s="16" t="s">
        <v>127</v>
      </c>
      <c r="K82" s="77"/>
      <c r="L82" s="77">
        <v>20</v>
      </c>
      <c r="M82" s="77"/>
      <c r="N82" s="77"/>
      <c r="O82" s="77">
        <v>20</v>
      </c>
    </row>
    <row r="83" spans="1:15" x14ac:dyDescent="0.25">
      <c r="A83"/>
      <c r="D83" s="52" t="s">
        <v>147</v>
      </c>
      <c r="E83" s="77">
        <v>12065</v>
      </c>
      <c r="F83" s="77"/>
      <c r="G83" s="77"/>
      <c r="H83" s="77"/>
      <c r="J83" s="16" t="s">
        <v>128</v>
      </c>
      <c r="K83" s="77"/>
      <c r="L83" s="77"/>
      <c r="M83" s="77">
        <v>18</v>
      </c>
      <c r="N83" s="77"/>
      <c r="O83" s="77">
        <v>18</v>
      </c>
    </row>
    <row r="84" spans="1:15" x14ac:dyDescent="0.25">
      <c r="A84"/>
      <c r="D84" s="52" t="s">
        <v>148</v>
      </c>
      <c r="E84" s="77"/>
      <c r="F84" s="77"/>
      <c r="G84" s="77">
        <v>11380</v>
      </c>
      <c r="H84" s="77"/>
      <c r="J84" s="16" t="s">
        <v>129</v>
      </c>
      <c r="K84" s="77">
        <v>11</v>
      </c>
      <c r="L84" s="77"/>
      <c r="M84" s="77"/>
      <c r="N84" s="77"/>
      <c r="O84" s="77">
        <v>11</v>
      </c>
    </row>
    <row r="85" spans="1:15" x14ac:dyDescent="0.25">
      <c r="A85"/>
      <c r="D85" s="52" t="s">
        <v>149</v>
      </c>
      <c r="E85" s="77"/>
      <c r="F85" s="77">
        <v>17425</v>
      </c>
      <c r="G85" s="77"/>
      <c r="H85" s="77"/>
      <c r="J85" s="16" t="s">
        <v>130</v>
      </c>
      <c r="K85" s="77"/>
      <c r="L85" s="77"/>
      <c r="M85" s="77">
        <v>17</v>
      </c>
      <c r="N85" s="77"/>
      <c r="O85" s="77">
        <v>17</v>
      </c>
    </row>
    <row r="86" spans="1:15" x14ac:dyDescent="0.25">
      <c r="A86"/>
      <c r="D86" s="52" t="s">
        <v>150</v>
      </c>
      <c r="E86" s="77">
        <v>11515</v>
      </c>
      <c r="F86" s="77"/>
      <c r="G86" s="77"/>
      <c r="H86" s="77"/>
      <c r="J86" s="16" t="s">
        <v>131</v>
      </c>
      <c r="K86" s="77">
        <v>11</v>
      </c>
      <c r="L86" s="77"/>
      <c r="M86" s="77"/>
      <c r="N86" s="77"/>
      <c r="O86" s="77">
        <v>11</v>
      </c>
    </row>
    <row r="87" spans="1:15" x14ac:dyDescent="0.25">
      <c r="A87"/>
      <c r="D87" s="52" t="s">
        <v>151</v>
      </c>
      <c r="E87" s="77"/>
      <c r="F87" s="77"/>
      <c r="G87" s="77">
        <v>10860</v>
      </c>
      <c r="H87" s="77"/>
      <c r="J87" s="16" t="s">
        <v>132</v>
      </c>
      <c r="K87" s="77"/>
      <c r="L87" s="77"/>
      <c r="M87" s="77">
        <v>19</v>
      </c>
      <c r="N87" s="77"/>
      <c r="O87" s="77">
        <v>19</v>
      </c>
    </row>
    <row r="88" spans="1:15" x14ac:dyDescent="0.25">
      <c r="A88"/>
      <c r="D88" s="52" t="s">
        <v>152</v>
      </c>
      <c r="E88" s="77"/>
      <c r="F88" s="77">
        <v>17325</v>
      </c>
      <c r="G88" s="77"/>
      <c r="H88" s="77"/>
      <c r="J88" s="16" t="s">
        <v>133</v>
      </c>
      <c r="K88" s="77"/>
      <c r="L88" s="77">
        <v>16</v>
      </c>
      <c r="M88" s="77"/>
      <c r="N88" s="77"/>
      <c r="O88" s="77">
        <v>16</v>
      </c>
    </row>
    <row r="89" spans="1:15" x14ac:dyDescent="0.25">
      <c r="A89"/>
      <c r="D89" s="52" t="s">
        <v>153</v>
      </c>
      <c r="E89" s="77"/>
      <c r="F89" s="77"/>
      <c r="G89" s="77"/>
      <c r="H89" s="77">
        <v>5680</v>
      </c>
      <c r="J89" s="16" t="s">
        <v>134</v>
      </c>
      <c r="K89" s="77"/>
      <c r="L89" s="77"/>
      <c r="M89" s="77">
        <v>18</v>
      </c>
      <c r="N89" s="77"/>
      <c r="O89" s="77">
        <v>18</v>
      </c>
    </row>
    <row r="90" spans="1:15" x14ac:dyDescent="0.25">
      <c r="A90"/>
      <c r="D90" s="52" t="s">
        <v>154</v>
      </c>
      <c r="E90" s="77">
        <v>11195</v>
      </c>
      <c r="F90" s="77"/>
      <c r="G90" s="77"/>
      <c r="H90" s="77"/>
      <c r="J90" s="16" t="s">
        <v>135</v>
      </c>
      <c r="K90" s="77">
        <v>8</v>
      </c>
      <c r="L90" s="77"/>
      <c r="M90" s="77"/>
      <c r="N90" s="77"/>
      <c r="O90" s="77">
        <v>8</v>
      </c>
    </row>
    <row r="91" spans="1:15" x14ac:dyDescent="0.25">
      <c r="A91"/>
      <c r="D91" s="52" t="s">
        <v>155</v>
      </c>
      <c r="E91" s="77"/>
      <c r="F91" s="77"/>
      <c r="G91" s="77">
        <v>11560</v>
      </c>
      <c r="H91" s="77"/>
      <c r="J91" s="16" t="s">
        <v>136</v>
      </c>
      <c r="K91" s="77"/>
      <c r="L91" s="77">
        <v>17</v>
      </c>
      <c r="M91" s="77"/>
      <c r="N91" s="77"/>
      <c r="O91" s="77">
        <v>17</v>
      </c>
    </row>
    <row r="92" spans="1:15" x14ac:dyDescent="0.25">
      <c r="A92"/>
      <c r="D92" s="52" t="s">
        <v>156</v>
      </c>
      <c r="E92" s="77"/>
      <c r="F92" s="77">
        <v>18654</v>
      </c>
      <c r="G92" s="77"/>
      <c r="H92" s="77"/>
      <c r="J92" s="16" t="s">
        <v>137</v>
      </c>
      <c r="K92" s="77"/>
      <c r="L92" s="77"/>
      <c r="M92" s="77">
        <v>16</v>
      </c>
      <c r="N92" s="77"/>
      <c r="O92" s="77">
        <v>16</v>
      </c>
    </row>
    <row r="93" spans="1:15" x14ac:dyDescent="0.25">
      <c r="A93"/>
      <c r="D93" s="52" t="s">
        <v>157</v>
      </c>
      <c r="E93" s="77"/>
      <c r="F93" s="77"/>
      <c r="G93" s="77"/>
      <c r="H93" s="77">
        <v>8060</v>
      </c>
      <c r="J93" s="16" t="s">
        <v>138</v>
      </c>
      <c r="K93" s="77">
        <v>8</v>
      </c>
      <c r="L93" s="77"/>
      <c r="M93" s="77"/>
      <c r="N93" s="77"/>
      <c r="O93" s="77">
        <v>8</v>
      </c>
    </row>
    <row r="94" spans="1:15" x14ac:dyDescent="0.25">
      <c r="A94"/>
      <c r="D94" s="52" t="s">
        <v>158</v>
      </c>
      <c r="E94" s="77">
        <v>10020</v>
      </c>
      <c r="F94" s="77"/>
      <c r="G94" s="77"/>
      <c r="H94" s="77"/>
      <c r="J94" s="16" t="s">
        <v>139</v>
      </c>
      <c r="K94" s="77"/>
      <c r="L94" s="77"/>
      <c r="M94" s="77">
        <v>18</v>
      </c>
      <c r="N94" s="77"/>
      <c r="O94" s="77">
        <v>18</v>
      </c>
    </row>
    <row r="95" spans="1:15" x14ac:dyDescent="0.25">
      <c r="A95"/>
      <c r="D95" s="52" t="s">
        <v>159</v>
      </c>
      <c r="E95" s="77"/>
      <c r="F95" s="77"/>
      <c r="G95" s="77">
        <v>10040</v>
      </c>
      <c r="H95" s="77"/>
      <c r="J95" s="16" t="s">
        <v>140</v>
      </c>
      <c r="K95" s="77"/>
      <c r="L95" s="77">
        <v>19</v>
      </c>
      <c r="M95" s="77"/>
      <c r="N95" s="77"/>
      <c r="O95" s="77">
        <v>19</v>
      </c>
    </row>
    <row r="96" spans="1:15" x14ac:dyDescent="0.25">
      <c r="A96"/>
      <c r="J96" s="16" t="s">
        <v>141</v>
      </c>
      <c r="K96" s="77">
        <v>8</v>
      </c>
      <c r="L96" s="77"/>
      <c r="M96" s="77"/>
      <c r="N96" s="77"/>
      <c r="O96" s="77">
        <v>8</v>
      </c>
    </row>
    <row r="97" spans="1:15" x14ac:dyDescent="0.25">
      <c r="A97"/>
      <c r="J97" s="16" t="s">
        <v>142</v>
      </c>
      <c r="K97" s="77"/>
      <c r="L97" s="77"/>
      <c r="M97" s="77">
        <v>15</v>
      </c>
      <c r="N97" s="77"/>
      <c r="O97" s="77">
        <v>15</v>
      </c>
    </row>
    <row r="98" spans="1:15" x14ac:dyDescent="0.25">
      <c r="A98"/>
      <c r="J98" s="16" t="s">
        <v>143</v>
      </c>
      <c r="K98" s="77"/>
      <c r="L98" s="77">
        <v>18</v>
      </c>
      <c r="M98" s="77"/>
      <c r="N98" s="77"/>
      <c r="O98" s="77">
        <v>18</v>
      </c>
    </row>
    <row r="99" spans="1:15" x14ac:dyDescent="0.25">
      <c r="A99"/>
      <c r="J99" s="16" t="s">
        <v>144</v>
      </c>
      <c r="K99" s="77"/>
      <c r="L99" s="77"/>
      <c r="M99" s="77"/>
      <c r="N99" s="77">
        <v>7</v>
      </c>
      <c r="O99" s="77">
        <v>7</v>
      </c>
    </row>
    <row r="100" spans="1:15" x14ac:dyDescent="0.25">
      <c r="A100"/>
      <c r="J100" s="16" t="s">
        <v>145</v>
      </c>
      <c r="K100" s="77"/>
      <c r="L100" s="77"/>
      <c r="M100" s="77">
        <v>19</v>
      </c>
      <c r="N100" s="77"/>
      <c r="O100" s="77">
        <v>19</v>
      </c>
    </row>
    <row r="101" spans="1:15" x14ac:dyDescent="0.25">
      <c r="A101"/>
      <c r="J101" s="16" t="s">
        <v>146</v>
      </c>
      <c r="K101" s="77"/>
      <c r="L101" s="77">
        <v>19</v>
      </c>
      <c r="M101" s="77"/>
      <c r="N101" s="77"/>
      <c r="O101" s="77">
        <v>19</v>
      </c>
    </row>
    <row r="102" spans="1:15" x14ac:dyDescent="0.25">
      <c r="J102" s="16" t="s">
        <v>147</v>
      </c>
      <c r="K102" s="77">
        <v>10</v>
      </c>
      <c r="L102" s="77"/>
      <c r="M102" s="77"/>
      <c r="N102" s="77"/>
      <c r="O102" s="77">
        <v>10</v>
      </c>
    </row>
    <row r="103" spans="1:15" x14ac:dyDescent="0.25">
      <c r="J103" s="16" t="s">
        <v>148</v>
      </c>
      <c r="K103" s="77"/>
      <c r="L103" s="77"/>
      <c r="M103" s="77">
        <v>16</v>
      </c>
      <c r="N103" s="77"/>
      <c r="O103" s="77">
        <v>16</v>
      </c>
    </row>
    <row r="104" spans="1:15" x14ac:dyDescent="0.25">
      <c r="J104" s="16" t="s">
        <v>149</v>
      </c>
      <c r="K104" s="77"/>
      <c r="L104" s="77">
        <v>19</v>
      </c>
      <c r="M104" s="77"/>
      <c r="N104" s="77"/>
      <c r="O104" s="77">
        <v>19</v>
      </c>
    </row>
    <row r="105" spans="1:15" x14ac:dyDescent="0.25">
      <c r="J105" s="16" t="s">
        <v>150</v>
      </c>
      <c r="K105" s="77">
        <v>12</v>
      </c>
      <c r="L105" s="77"/>
      <c r="M105" s="77"/>
      <c r="N105" s="77"/>
      <c r="O105" s="77">
        <v>12</v>
      </c>
    </row>
    <row r="106" spans="1:15" x14ac:dyDescent="0.25">
      <c r="J106" s="16" t="s">
        <v>151</v>
      </c>
      <c r="K106" s="77"/>
      <c r="L106" s="77"/>
      <c r="M106" s="77">
        <v>15</v>
      </c>
      <c r="N106" s="77"/>
      <c r="O106" s="77">
        <v>15</v>
      </c>
    </row>
    <row r="107" spans="1:15" x14ac:dyDescent="0.25">
      <c r="J107" s="16" t="s">
        <v>152</v>
      </c>
      <c r="K107" s="77"/>
      <c r="L107" s="77">
        <v>17</v>
      </c>
      <c r="M107" s="77"/>
      <c r="N107" s="77"/>
      <c r="O107" s="77">
        <v>17</v>
      </c>
    </row>
    <row r="108" spans="1:15" x14ac:dyDescent="0.25">
      <c r="J108" s="16" t="s">
        <v>153</v>
      </c>
      <c r="K108" s="77"/>
      <c r="L108" s="77"/>
      <c r="M108" s="77"/>
      <c r="N108" s="77">
        <v>6</v>
      </c>
      <c r="O108" s="77">
        <v>6</v>
      </c>
    </row>
    <row r="109" spans="1:15" x14ac:dyDescent="0.25">
      <c r="J109" s="16" t="s">
        <v>154</v>
      </c>
      <c r="K109" s="77">
        <v>10</v>
      </c>
      <c r="L109" s="77"/>
      <c r="M109" s="77"/>
      <c r="N109" s="77"/>
      <c r="O109" s="77">
        <v>10</v>
      </c>
    </row>
    <row r="110" spans="1:15" x14ac:dyDescent="0.25">
      <c r="J110" s="16" t="s">
        <v>155</v>
      </c>
      <c r="K110" s="77"/>
      <c r="L110" s="77"/>
      <c r="M110" s="77">
        <v>16</v>
      </c>
      <c r="N110" s="77"/>
      <c r="O110" s="77">
        <v>16</v>
      </c>
    </row>
    <row r="111" spans="1:15" x14ac:dyDescent="0.25">
      <c r="J111" s="16" t="s">
        <v>156</v>
      </c>
      <c r="K111" s="77"/>
      <c r="L111" s="77">
        <v>16</v>
      </c>
      <c r="M111" s="77"/>
      <c r="N111" s="77"/>
      <c r="O111" s="77">
        <v>16</v>
      </c>
    </row>
    <row r="112" spans="1:15" x14ac:dyDescent="0.25">
      <c r="J112" s="16" t="s">
        <v>157</v>
      </c>
      <c r="K112" s="77"/>
      <c r="L112" s="77"/>
      <c r="M112" s="77"/>
      <c r="N112" s="77">
        <v>13</v>
      </c>
      <c r="O112" s="77">
        <v>13</v>
      </c>
    </row>
    <row r="113" spans="10:15" x14ac:dyDescent="0.25">
      <c r="J113" s="16" t="s">
        <v>158</v>
      </c>
      <c r="K113" s="77">
        <v>9</v>
      </c>
      <c r="L113" s="77"/>
      <c r="M113" s="77"/>
      <c r="N113" s="77"/>
      <c r="O113" s="77">
        <v>9</v>
      </c>
    </row>
    <row r="114" spans="10:15" x14ac:dyDescent="0.25">
      <c r="J114" s="16" t="s">
        <v>159</v>
      </c>
      <c r="K114" s="77"/>
      <c r="L114" s="77"/>
      <c r="M114" s="77">
        <v>14</v>
      </c>
      <c r="N114" s="77"/>
      <c r="O114" s="77">
        <v>14</v>
      </c>
    </row>
    <row r="115" spans="10:15" x14ac:dyDescent="0.25">
      <c r="J115" s="16" t="s">
        <v>34</v>
      </c>
      <c r="K115" s="77">
        <v>208</v>
      </c>
      <c r="L115" s="77">
        <v>280</v>
      </c>
      <c r="M115" s="77">
        <v>441</v>
      </c>
      <c r="N115" s="77">
        <v>26</v>
      </c>
      <c r="O115" s="77">
        <v>955</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24AFA-E818-47E6-92E2-0E1D4F67CD1B}">
  <sheetPr codeName="Sheet6"/>
  <dimension ref="A1:O71"/>
  <sheetViews>
    <sheetView workbookViewId="0">
      <selection activeCell="N5" sqref="N5"/>
    </sheetView>
  </sheetViews>
  <sheetFormatPr defaultRowHeight="15" x14ac:dyDescent="0.25"/>
  <cols>
    <col min="1" max="1" width="16.7109375" bestFit="1" customWidth="1"/>
    <col min="2" max="2" width="12.85546875" bestFit="1" customWidth="1"/>
    <col min="3" max="3" width="8.42578125" bestFit="1" customWidth="1"/>
    <col min="4" max="4" width="16.7109375" bestFit="1" customWidth="1"/>
    <col min="5" max="5" width="12.85546875" bestFit="1" customWidth="1"/>
    <col min="6" max="6" width="15.42578125" bestFit="1" customWidth="1"/>
    <col min="7" max="7" width="13.42578125" bestFit="1" customWidth="1"/>
    <col min="8" max="8" width="21.85546875" bestFit="1" customWidth="1"/>
    <col min="9" max="9" width="16.85546875" bestFit="1" customWidth="1"/>
    <col min="10" max="10" width="16.5703125" bestFit="1" customWidth="1"/>
    <col min="11" max="11" width="12.7109375" bestFit="1" customWidth="1"/>
    <col min="12" max="12" width="11.28515625" bestFit="1" customWidth="1"/>
    <col min="13" max="15" width="20.7109375" customWidth="1"/>
  </cols>
  <sheetData>
    <row r="1" spans="1:15" x14ac:dyDescent="0.25">
      <c r="A1" s="2" t="s">
        <v>36</v>
      </c>
      <c r="B1" t="s">
        <v>37</v>
      </c>
      <c r="M1" t="s">
        <v>183</v>
      </c>
      <c r="N1">
        <f>MIN(E:E)</f>
        <v>73.33</v>
      </c>
    </row>
    <row r="2" spans="1:15" x14ac:dyDescent="0.25">
      <c r="M2" t="s">
        <v>68</v>
      </c>
      <c r="N2">
        <f>MAX(B:B)</f>
        <v>147</v>
      </c>
    </row>
    <row r="3" spans="1:15" x14ac:dyDescent="0.25">
      <c r="A3" s="2" t="s">
        <v>7</v>
      </c>
      <c r="B3" t="s">
        <v>53</v>
      </c>
      <c r="C3" t="s">
        <v>52</v>
      </c>
      <c r="M3" t="s">
        <v>33</v>
      </c>
      <c r="N3" s="3" t="str">
        <f>_xlfn.XLOOKUP(N2,B:B,A:A,,,-1)</f>
        <v>10/24/2023</v>
      </c>
    </row>
    <row r="4" spans="1:15" x14ac:dyDescent="0.25">
      <c r="A4" s="52" t="s">
        <v>87</v>
      </c>
      <c r="B4" s="77">
        <v>73.33</v>
      </c>
      <c r="C4" s="77">
        <v>3</v>
      </c>
      <c r="M4" t="s">
        <v>184</v>
      </c>
      <c r="N4">
        <f>ROUND(N2-N1,0)</f>
        <v>74</v>
      </c>
    </row>
    <row r="5" spans="1:15" x14ac:dyDescent="0.25">
      <c r="A5" s="52" t="s">
        <v>92</v>
      </c>
      <c r="B5" s="77">
        <v>100</v>
      </c>
      <c r="C5" s="77">
        <v>3</v>
      </c>
    </row>
    <row r="6" spans="1:15" x14ac:dyDescent="0.25">
      <c r="A6" s="52" t="s">
        <v>95</v>
      </c>
      <c r="B6" s="77">
        <v>105</v>
      </c>
      <c r="C6" s="77">
        <v>3</v>
      </c>
    </row>
    <row r="7" spans="1:15" x14ac:dyDescent="0.25">
      <c r="A7" s="52" t="s">
        <v>98</v>
      </c>
      <c r="B7" s="77">
        <v>129.83000000000001</v>
      </c>
      <c r="C7" s="77">
        <v>3</v>
      </c>
    </row>
    <row r="8" spans="1:15" x14ac:dyDescent="0.25">
      <c r="A8" s="52" t="s">
        <v>101</v>
      </c>
      <c r="B8" s="77">
        <v>133</v>
      </c>
      <c r="C8" s="77">
        <v>3</v>
      </c>
    </row>
    <row r="9" spans="1:15" x14ac:dyDescent="0.25">
      <c r="A9" s="52" t="s">
        <v>104</v>
      </c>
      <c r="B9" s="77">
        <v>126.67</v>
      </c>
      <c r="C9" s="77">
        <v>4</v>
      </c>
    </row>
    <row r="10" spans="1:15" x14ac:dyDescent="0.25">
      <c r="A10" s="52" t="s">
        <v>107</v>
      </c>
      <c r="B10" s="77">
        <v>140</v>
      </c>
      <c r="C10" s="77">
        <v>4</v>
      </c>
    </row>
    <row r="11" spans="1:15" x14ac:dyDescent="0.25">
      <c r="A11" s="52" t="s">
        <v>110</v>
      </c>
      <c r="B11" s="77">
        <v>146.66999999999999</v>
      </c>
      <c r="C11" s="77">
        <v>4</v>
      </c>
    </row>
    <row r="12" spans="1:15" x14ac:dyDescent="0.25">
      <c r="A12" s="52" t="s">
        <v>116</v>
      </c>
      <c r="B12" s="77">
        <v>147</v>
      </c>
      <c r="C12" s="77">
        <v>4</v>
      </c>
    </row>
    <row r="13" spans="1:15" x14ac:dyDescent="0.25">
      <c r="A13" s="52" t="s">
        <v>127</v>
      </c>
      <c r="B13" s="77">
        <v>133</v>
      </c>
      <c r="C13" s="77">
        <v>4</v>
      </c>
      <c r="M13" s="11"/>
      <c r="N13" s="11"/>
      <c r="O13" s="11"/>
    </row>
    <row r="14" spans="1:15" x14ac:dyDescent="0.25">
      <c r="A14" s="52" t="s">
        <v>133</v>
      </c>
      <c r="B14" s="77">
        <v>97.5</v>
      </c>
      <c r="C14" s="77">
        <v>4</v>
      </c>
    </row>
    <row r="15" spans="1:15" ht="14.25" customHeight="1" x14ac:dyDescent="0.25">
      <c r="A15" s="52" t="s">
        <v>136</v>
      </c>
      <c r="B15" s="77">
        <v>97.5</v>
      </c>
      <c r="C15" s="77">
        <v>4</v>
      </c>
    </row>
    <row r="16" spans="1:15" x14ac:dyDescent="0.25">
      <c r="A16" s="52" t="s">
        <v>140</v>
      </c>
      <c r="B16" s="77">
        <v>97.5</v>
      </c>
      <c r="C16" s="77">
        <v>4</v>
      </c>
    </row>
    <row r="17" spans="1:6" x14ac:dyDescent="0.25">
      <c r="A17" s="52" t="s">
        <v>143</v>
      </c>
      <c r="B17" s="77">
        <v>105</v>
      </c>
      <c r="C17" s="77">
        <v>3</v>
      </c>
    </row>
    <row r="18" spans="1:6" x14ac:dyDescent="0.25">
      <c r="A18" s="52" t="s">
        <v>146</v>
      </c>
      <c r="B18" s="77">
        <v>105</v>
      </c>
      <c r="C18" s="77">
        <v>3</v>
      </c>
    </row>
    <row r="19" spans="1:6" x14ac:dyDescent="0.25">
      <c r="A19" s="52" t="s">
        <v>149</v>
      </c>
      <c r="B19" s="77">
        <v>112.5</v>
      </c>
      <c r="C19" s="77">
        <v>3</v>
      </c>
    </row>
    <row r="20" spans="1:6" x14ac:dyDescent="0.25">
      <c r="A20" s="52" t="s">
        <v>152</v>
      </c>
      <c r="B20" s="77">
        <v>120</v>
      </c>
      <c r="C20" s="77">
        <v>3</v>
      </c>
    </row>
    <row r="21" spans="1:6" x14ac:dyDescent="0.25">
      <c r="A21" s="52" t="s">
        <v>156</v>
      </c>
      <c r="B21" s="77">
        <v>127.5</v>
      </c>
      <c r="C21" s="77">
        <v>3</v>
      </c>
    </row>
    <row r="25" spans="1:6" x14ac:dyDescent="0.25">
      <c r="D25" s="2" t="s">
        <v>36</v>
      </c>
      <c r="E25" t="s">
        <v>37</v>
      </c>
    </row>
    <row r="27" spans="1:6" x14ac:dyDescent="0.25">
      <c r="D27" s="2" t="s">
        <v>7</v>
      </c>
      <c r="E27" t="s">
        <v>53</v>
      </c>
      <c r="F27" t="s">
        <v>50</v>
      </c>
    </row>
    <row r="28" spans="1:6" x14ac:dyDescent="0.25">
      <c r="D28" s="16" t="s">
        <v>87</v>
      </c>
      <c r="E28" s="77">
        <v>73.33</v>
      </c>
      <c r="F28" s="77">
        <v>10</v>
      </c>
    </row>
    <row r="29" spans="1:6" x14ac:dyDescent="0.25">
      <c r="D29" s="16" t="s">
        <v>92</v>
      </c>
      <c r="E29" s="77">
        <v>100</v>
      </c>
      <c r="F29" s="77">
        <v>10</v>
      </c>
    </row>
    <row r="30" spans="1:6" x14ac:dyDescent="0.25">
      <c r="D30" s="16" t="s">
        <v>95</v>
      </c>
      <c r="E30" s="77">
        <v>105</v>
      </c>
      <c r="F30" s="77">
        <v>11.333333333333334</v>
      </c>
    </row>
    <row r="31" spans="1:6" x14ac:dyDescent="0.25">
      <c r="D31" s="16" t="s">
        <v>98</v>
      </c>
      <c r="E31" s="77">
        <v>129.83000000000001</v>
      </c>
      <c r="F31" s="77">
        <v>11.666666666666666</v>
      </c>
    </row>
    <row r="32" spans="1:6" x14ac:dyDescent="0.25">
      <c r="D32" s="16" t="s">
        <v>101</v>
      </c>
      <c r="E32" s="77">
        <v>133</v>
      </c>
      <c r="F32" s="77">
        <v>13.333333333333334</v>
      </c>
    </row>
    <row r="33" spans="4:10" x14ac:dyDescent="0.25">
      <c r="D33" s="16" t="s">
        <v>104</v>
      </c>
      <c r="E33" s="77">
        <v>126.67</v>
      </c>
      <c r="F33" s="77">
        <v>11</v>
      </c>
    </row>
    <row r="34" spans="4:10" x14ac:dyDescent="0.25">
      <c r="D34" s="16" t="s">
        <v>107</v>
      </c>
      <c r="E34" s="77">
        <v>140</v>
      </c>
      <c r="F34" s="77">
        <v>11.25</v>
      </c>
    </row>
    <row r="35" spans="4:10" x14ac:dyDescent="0.25">
      <c r="D35" s="16" t="s">
        <v>110</v>
      </c>
      <c r="E35" s="77">
        <v>146.66999999999999</v>
      </c>
      <c r="F35" s="77">
        <v>10</v>
      </c>
    </row>
    <row r="36" spans="4:10" x14ac:dyDescent="0.25">
      <c r="D36" s="16" t="s">
        <v>116</v>
      </c>
      <c r="E36" s="77">
        <v>147</v>
      </c>
      <c r="F36" s="77">
        <v>11.5</v>
      </c>
    </row>
    <row r="37" spans="4:10" x14ac:dyDescent="0.25">
      <c r="D37" s="16" t="s">
        <v>127</v>
      </c>
      <c r="E37" s="77">
        <v>133</v>
      </c>
      <c r="F37" s="77">
        <v>12</v>
      </c>
    </row>
    <row r="38" spans="4:10" x14ac:dyDescent="0.25">
      <c r="D38" s="16" t="s">
        <v>133</v>
      </c>
      <c r="E38" s="77">
        <v>97.5</v>
      </c>
      <c r="F38" s="77">
        <v>15</v>
      </c>
    </row>
    <row r="39" spans="4:10" x14ac:dyDescent="0.25">
      <c r="D39" s="16" t="s">
        <v>136</v>
      </c>
      <c r="E39" s="77">
        <v>97.5</v>
      </c>
      <c r="F39" s="77">
        <v>15</v>
      </c>
    </row>
    <row r="40" spans="4:10" x14ac:dyDescent="0.25">
      <c r="D40" s="16" t="s">
        <v>140</v>
      </c>
      <c r="E40" s="77">
        <v>97.5</v>
      </c>
      <c r="F40" s="77">
        <v>15</v>
      </c>
    </row>
    <row r="41" spans="4:10" x14ac:dyDescent="0.25">
      <c r="D41" s="16" t="s">
        <v>143</v>
      </c>
      <c r="E41" s="77">
        <v>105</v>
      </c>
      <c r="F41" s="77">
        <v>15</v>
      </c>
    </row>
    <row r="42" spans="4:10" x14ac:dyDescent="0.25">
      <c r="D42" s="16" t="s">
        <v>146</v>
      </c>
      <c r="E42" s="77">
        <v>105</v>
      </c>
      <c r="F42" s="77">
        <v>15</v>
      </c>
    </row>
    <row r="43" spans="4:10" x14ac:dyDescent="0.25">
      <c r="D43" s="16" t="s">
        <v>149</v>
      </c>
      <c r="E43" s="77">
        <v>112.5</v>
      </c>
      <c r="F43" s="77">
        <v>15</v>
      </c>
    </row>
    <row r="44" spans="4:10" x14ac:dyDescent="0.25">
      <c r="D44" s="16" t="s">
        <v>152</v>
      </c>
      <c r="E44" s="77">
        <v>120</v>
      </c>
      <c r="F44" s="77">
        <v>15</v>
      </c>
    </row>
    <row r="45" spans="4:10" x14ac:dyDescent="0.25">
      <c r="D45" s="16" t="s">
        <v>156</v>
      </c>
      <c r="E45" s="77">
        <v>127.5</v>
      </c>
      <c r="F45" s="77">
        <v>14.666666666666666</v>
      </c>
    </row>
    <row r="46" spans="4:10" x14ac:dyDescent="0.25">
      <c r="D46" s="16" t="s">
        <v>34</v>
      </c>
      <c r="E46" s="77">
        <v>147</v>
      </c>
      <c r="F46" s="77">
        <v>12.838709677419354</v>
      </c>
    </row>
    <row r="47" spans="4:10" x14ac:dyDescent="0.25">
      <c r="H47" s="2" t="s">
        <v>7</v>
      </c>
      <c r="I47" t="s">
        <v>32</v>
      </c>
      <c r="J47" t="s">
        <v>182</v>
      </c>
    </row>
    <row r="48" spans="4:10" x14ac:dyDescent="0.25">
      <c r="H48" s="11" t="s">
        <v>72</v>
      </c>
      <c r="I48" s="77">
        <v>1.5</v>
      </c>
      <c r="J48" s="77">
        <v>1.5</v>
      </c>
    </row>
    <row r="49" spans="8:10" x14ac:dyDescent="0.25">
      <c r="H49" s="11" t="s">
        <v>15</v>
      </c>
      <c r="I49" s="77">
        <v>220</v>
      </c>
      <c r="J49" s="77">
        <v>57</v>
      </c>
    </row>
    <row r="50" spans="8:10" x14ac:dyDescent="0.25">
      <c r="H50" s="11" t="s">
        <v>61</v>
      </c>
      <c r="I50" s="77">
        <v>75</v>
      </c>
      <c r="J50" s="77">
        <v>16.670000000000002</v>
      </c>
    </row>
    <row r="51" spans="8:10" x14ac:dyDescent="0.25">
      <c r="H51" s="11" t="s">
        <v>9</v>
      </c>
      <c r="I51" s="77">
        <v>147</v>
      </c>
      <c r="J51" s="77">
        <v>60</v>
      </c>
    </row>
    <row r="52" spans="8:10" x14ac:dyDescent="0.25">
      <c r="H52" s="11" t="s">
        <v>62</v>
      </c>
      <c r="I52" s="77">
        <v>60</v>
      </c>
      <c r="J52" s="77">
        <v>33.33</v>
      </c>
    </row>
    <row r="53" spans="8:10" x14ac:dyDescent="0.25">
      <c r="H53" s="11" t="s">
        <v>73</v>
      </c>
      <c r="I53" s="77">
        <v>37.5</v>
      </c>
      <c r="J53" s="77">
        <v>30</v>
      </c>
    </row>
    <row r="54" spans="8:10" x14ac:dyDescent="0.25">
      <c r="H54" s="11" t="s">
        <v>20</v>
      </c>
      <c r="I54" s="77">
        <v>332.5</v>
      </c>
      <c r="J54" s="77">
        <v>206.67</v>
      </c>
    </row>
    <row r="55" spans="8:10" x14ac:dyDescent="0.25">
      <c r="H55" s="11" t="s">
        <v>10</v>
      </c>
      <c r="I55" s="77">
        <v>105</v>
      </c>
      <c r="J55" s="77">
        <v>22.5</v>
      </c>
    </row>
    <row r="56" spans="8:10" x14ac:dyDescent="0.25">
      <c r="H56" s="11" t="s">
        <v>12</v>
      </c>
      <c r="I56" s="77">
        <v>188.5</v>
      </c>
      <c r="J56" s="77">
        <v>60</v>
      </c>
    </row>
    <row r="57" spans="8:10" x14ac:dyDescent="0.25">
      <c r="H57" s="11" t="s">
        <v>17</v>
      </c>
      <c r="I57" s="77">
        <v>213.33</v>
      </c>
      <c r="J57" s="77">
        <v>60</v>
      </c>
    </row>
    <row r="58" spans="8:10" x14ac:dyDescent="0.25">
      <c r="H58" s="11" t="s">
        <v>18</v>
      </c>
      <c r="I58" s="77">
        <v>164.67</v>
      </c>
      <c r="J58" s="77">
        <v>60</v>
      </c>
    </row>
    <row r="59" spans="8:10" x14ac:dyDescent="0.25">
      <c r="H59" s="11" t="s">
        <v>66</v>
      </c>
      <c r="I59" s="77">
        <v>28</v>
      </c>
      <c r="J59" s="77">
        <v>28</v>
      </c>
    </row>
    <row r="60" spans="8:10" x14ac:dyDescent="0.25">
      <c r="H60" s="11" t="s">
        <v>13</v>
      </c>
      <c r="I60" s="77">
        <v>102.67</v>
      </c>
      <c r="J60" s="77">
        <v>52.5</v>
      </c>
    </row>
    <row r="61" spans="8:10" x14ac:dyDescent="0.25">
      <c r="H61" s="11" t="s">
        <v>14</v>
      </c>
      <c r="I61" s="77">
        <v>107.67</v>
      </c>
      <c r="J61" s="77">
        <v>58.33</v>
      </c>
    </row>
    <row r="62" spans="8:10" x14ac:dyDescent="0.25">
      <c r="H62" s="11" t="s">
        <v>16</v>
      </c>
      <c r="I62" s="77">
        <v>198</v>
      </c>
      <c r="J62" s="77">
        <v>66.67</v>
      </c>
    </row>
    <row r="63" spans="8:10" x14ac:dyDescent="0.25">
      <c r="H63" s="11" t="s">
        <v>19</v>
      </c>
      <c r="I63" s="77">
        <v>254.2</v>
      </c>
      <c r="J63" s="77">
        <v>189.27</v>
      </c>
    </row>
    <row r="64" spans="8:10" x14ac:dyDescent="0.25">
      <c r="H64" s="11" t="s">
        <v>11</v>
      </c>
      <c r="I64" s="77">
        <v>320</v>
      </c>
      <c r="J64" s="77">
        <v>126.67</v>
      </c>
    </row>
    <row r="65" spans="8:10" x14ac:dyDescent="0.25">
      <c r="H65" s="11" t="s">
        <v>45</v>
      </c>
      <c r="I65" s="77">
        <v>25</v>
      </c>
      <c r="J65" s="77">
        <v>3.33</v>
      </c>
    </row>
    <row r="66" spans="8:10" x14ac:dyDescent="0.25">
      <c r="H66" s="11" t="s">
        <v>47</v>
      </c>
      <c r="I66" s="77">
        <v>125</v>
      </c>
      <c r="J66" s="77">
        <v>50</v>
      </c>
    </row>
    <row r="67" spans="8:10" x14ac:dyDescent="0.25">
      <c r="H67" s="11" t="s">
        <v>65</v>
      </c>
      <c r="I67" s="77">
        <v>41.67</v>
      </c>
      <c r="J67" s="77">
        <v>1.67</v>
      </c>
    </row>
    <row r="68" spans="8:10" x14ac:dyDescent="0.25">
      <c r="H68" s="11" t="s">
        <v>64</v>
      </c>
      <c r="I68" s="77">
        <v>6.67</v>
      </c>
      <c r="J68" s="77">
        <v>3.33</v>
      </c>
    </row>
    <row r="69" spans="8:10" x14ac:dyDescent="0.25">
      <c r="H69" s="11" t="s">
        <v>46</v>
      </c>
      <c r="I69" s="77">
        <v>37.5</v>
      </c>
      <c r="J69" s="77">
        <v>28</v>
      </c>
    </row>
    <row r="70" spans="8:10" x14ac:dyDescent="0.25">
      <c r="H70" s="11" t="s">
        <v>63</v>
      </c>
      <c r="I70" s="77">
        <v>8.33</v>
      </c>
      <c r="J70" s="77">
        <v>8.33</v>
      </c>
    </row>
    <row r="71" spans="8:10" x14ac:dyDescent="0.25">
      <c r="H71" s="11" t="s">
        <v>49</v>
      </c>
      <c r="I71" s="77">
        <v>30</v>
      </c>
      <c r="J71" s="77">
        <v>16.670000000000002</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B5888-5CE7-481F-B5F4-FCC47F719FD9}">
  <sheetPr codeName="Sheet4"/>
  <dimension ref="B1:AC58"/>
  <sheetViews>
    <sheetView showGridLines="0" tabSelected="1" topLeftCell="A6" zoomScaleNormal="100" workbookViewId="0">
      <selection activeCell="E23" sqref="E23:E24"/>
    </sheetView>
  </sheetViews>
  <sheetFormatPr defaultRowHeight="15" x14ac:dyDescent="0.25"/>
  <cols>
    <col min="1" max="1" width="9.140625" customWidth="1"/>
    <col min="2" max="2" width="10.42578125" customWidth="1"/>
    <col min="4" max="4" width="11.42578125" bestFit="1" customWidth="1"/>
    <col min="5" max="5" width="11.7109375" customWidth="1"/>
    <col min="28" max="28" width="9.140625" customWidth="1"/>
    <col min="29" max="29" width="10" customWidth="1"/>
  </cols>
  <sheetData>
    <row r="1" spans="2:29" ht="15" customHeight="1" x14ac:dyDescent="0.25">
      <c r="B1" s="68" t="s">
        <v>28</v>
      </c>
      <c r="C1" s="68"/>
      <c r="D1" s="68"/>
      <c r="E1" s="68"/>
      <c r="F1" s="68"/>
      <c r="G1" s="68"/>
      <c r="H1" s="68"/>
      <c r="I1" s="68"/>
      <c r="J1" s="68"/>
      <c r="K1" s="68"/>
      <c r="L1" s="68"/>
      <c r="M1" s="68"/>
      <c r="N1" s="68"/>
      <c r="O1" s="68"/>
      <c r="P1" s="68"/>
      <c r="Q1" s="68"/>
      <c r="R1" s="68"/>
      <c r="S1" s="68"/>
      <c r="T1" s="68"/>
      <c r="U1" s="68"/>
      <c r="V1" s="68"/>
      <c r="W1" s="68"/>
      <c r="X1" s="68"/>
      <c r="Y1" s="68"/>
      <c r="Z1" s="68"/>
      <c r="AA1" s="68"/>
      <c r="AB1" s="68"/>
      <c r="AC1" s="6"/>
    </row>
    <row r="2" spans="2:29" ht="15" customHeight="1" x14ac:dyDescent="0.25">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
    </row>
    <row r="3" spans="2:29" ht="15" customHeight="1" x14ac:dyDescent="0.25">
      <c r="B3" s="68"/>
      <c r="C3" s="68"/>
      <c r="D3" s="68"/>
      <c r="E3" s="68"/>
      <c r="F3" s="68"/>
      <c r="G3" s="68"/>
      <c r="H3" s="68"/>
      <c r="I3" s="68"/>
      <c r="J3" s="68"/>
      <c r="K3" s="68"/>
      <c r="L3" s="68"/>
      <c r="M3" s="68"/>
      <c r="N3" s="68"/>
      <c r="O3" s="68"/>
      <c r="P3" s="68"/>
      <c r="Q3" s="68"/>
      <c r="R3" s="68"/>
      <c r="S3" s="68"/>
      <c r="T3" s="68"/>
      <c r="U3" s="68"/>
      <c r="V3" s="68"/>
      <c r="W3" s="68"/>
      <c r="X3" s="68"/>
      <c r="Y3" s="68"/>
      <c r="Z3" s="68"/>
      <c r="AA3" s="68"/>
      <c r="AB3" s="68"/>
      <c r="AC3" s="6"/>
    </row>
    <row r="4" spans="2:29" ht="15" customHeight="1" x14ac:dyDescent="0.25">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
    </row>
    <row r="5" spans="2:29" ht="15" customHeight="1" x14ac:dyDescent="0.25">
      <c r="B5" s="5"/>
      <c r="C5" s="5"/>
      <c r="D5" s="5"/>
      <c r="E5" s="5"/>
      <c r="F5" s="5"/>
      <c r="G5" s="5"/>
      <c r="H5" s="5"/>
      <c r="I5" s="5"/>
      <c r="J5" s="5"/>
      <c r="K5" s="5"/>
      <c r="L5" s="5"/>
      <c r="M5" s="5"/>
      <c r="N5" s="5"/>
      <c r="O5" s="5"/>
      <c r="P5" s="5"/>
      <c r="Q5" s="5"/>
      <c r="R5" s="5"/>
      <c r="S5" s="5"/>
      <c r="T5" s="5"/>
      <c r="U5" s="5"/>
      <c r="V5" s="5"/>
      <c r="W5" s="5"/>
      <c r="X5" s="5"/>
      <c r="Y5" s="5"/>
      <c r="Z5" s="5"/>
      <c r="AA5" s="5"/>
      <c r="AB5" s="5"/>
      <c r="AC5" s="5"/>
    </row>
    <row r="6" spans="2:29" ht="25.5" x14ac:dyDescent="0.25">
      <c r="B6" s="64" t="s">
        <v>27</v>
      </c>
      <c r="C6" s="69"/>
      <c r="D6" s="69"/>
      <c r="E6" s="69"/>
      <c r="F6" s="69"/>
      <c r="G6" s="69"/>
      <c r="H6" s="69"/>
      <c r="I6" s="69"/>
      <c r="J6" s="69"/>
      <c r="K6" s="69"/>
      <c r="L6" s="69"/>
      <c r="M6" s="69"/>
      <c r="N6" s="69"/>
      <c r="O6" s="69"/>
      <c r="P6" s="69"/>
      <c r="Q6" s="69"/>
      <c r="R6" s="69"/>
      <c r="S6" s="69"/>
      <c r="T6" s="69"/>
      <c r="U6" s="69"/>
      <c r="V6" s="69"/>
      <c r="W6" s="69"/>
      <c r="X6" s="69"/>
      <c r="Y6" s="69"/>
      <c r="Z6" s="69"/>
      <c r="AA6" s="69"/>
      <c r="AB6" s="69"/>
      <c r="AC6" s="7"/>
    </row>
    <row r="7" spans="2:29" s="30" customFormat="1" ht="8.25" x14ac:dyDescent="0.15">
      <c r="B7" s="28"/>
      <c r="C7" s="28"/>
      <c r="D7" s="28"/>
      <c r="E7" s="28"/>
      <c r="F7" s="28"/>
      <c r="G7" s="28"/>
      <c r="H7" s="28"/>
      <c r="I7" s="28"/>
      <c r="J7" s="28"/>
      <c r="K7" s="28"/>
      <c r="L7" s="28"/>
      <c r="M7" s="28"/>
      <c r="N7" s="28"/>
      <c r="O7" s="28"/>
      <c r="P7" s="28"/>
      <c r="Q7" s="28"/>
      <c r="R7" s="28"/>
      <c r="S7" s="28"/>
      <c r="T7" s="28"/>
      <c r="U7" s="28"/>
      <c r="V7" s="28"/>
      <c r="W7" s="28"/>
      <c r="X7" s="28"/>
      <c r="Y7" s="28"/>
      <c r="Z7" s="28"/>
      <c r="AA7" s="28"/>
      <c r="AB7" s="28"/>
      <c r="AC7" s="29"/>
    </row>
    <row r="8" spans="2:29" s="8" customFormat="1" ht="29.25" customHeight="1" x14ac:dyDescent="0.7">
      <c r="B8" s="9"/>
      <c r="C8" s="70">
        <f>MIN(Imported_data!B:B)</f>
        <v>45182</v>
      </c>
      <c r="D8" s="70"/>
      <c r="E8" s="70"/>
      <c r="F8" s="70"/>
      <c r="G8" s="70"/>
      <c r="H8" s="71" t="str">
        <f ca="1">DATEDIF(Dashboard!C8,TODAY(),"m")&amp;"M "&amp;DATEDIF(C8,TODAY(),"MD")&amp;"D"</f>
        <v>3M 22D</v>
      </c>
      <c r="I8" s="71"/>
      <c r="J8" s="71"/>
      <c r="K8" s="71"/>
      <c r="L8" s="71"/>
      <c r="M8" s="71">
        <f>COUNT(_xlfn.UNIQUE(Imported_data!B:B))</f>
        <v>73</v>
      </c>
      <c r="N8" s="71"/>
      <c r="O8" s="71"/>
      <c r="P8" s="71"/>
      <c r="Q8" s="71"/>
      <c r="R8" s="71">
        <f ca="1">ROUND(7*(M8/(_xlfn.DAYS(TODAY(),Dashboard!C8))),2)</f>
        <v>4.5199999999999996</v>
      </c>
      <c r="S8" s="71"/>
      <c r="T8" s="71"/>
      <c r="U8" s="71"/>
      <c r="V8" s="71"/>
      <c r="W8" s="71">
        <f ca="1">ROUNDDOWN(_xlfn.DAYS(TODAY(),Dashboard!C8)/90,0)+1</f>
        <v>2</v>
      </c>
      <c r="X8" s="71"/>
      <c r="Y8" s="71"/>
      <c r="Z8" s="71"/>
      <c r="AA8" s="71"/>
      <c r="AB8" s="10"/>
      <c r="AC8" s="10"/>
    </row>
    <row r="9" spans="2:29" s="27" customFormat="1" ht="12.75" x14ac:dyDescent="0.25">
      <c r="B9" s="26"/>
      <c r="C9" s="72" t="s">
        <v>181</v>
      </c>
      <c r="D9" s="72"/>
      <c r="E9" s="72"/>
      <c r="F9" s="72"/>
      <c r="G9" s="72"/>
      <c r="H9" s="72" t="s">
        <v>180</v>
      </c>
      <c r="I9" s="72"/>
      <c r="J9" s="72"/>
      <c r="K9" s="72"/>
      <c r="L9" s="72"/>
      <c r="M9" s="72" t="s">
        <v>29</v>
      </c>
      <c r="N9" s="72"/>
      <c r="O9" s="72"/>
      <c r="P9" s="72"/>
      <c r="Q9" s="72"/>
      <c r="R9" s="72" t="s">
        <v>30</v>
      </c>
      <c r="S9" s="72"/>
      <c r="T9" s="72"/>
      <c r="U9" s="72"/>
      <c r="V9" s="72"/>
      <c r="W9" s="72" t="s">
        <v>48</v>
      </c>
      <c r="X9" s="72"/>
      <c r="Y9" s="72"/>
      <c r="Z9" s="72"/>
      <c r="AA9" s="72"/>
      <c r="AB9" s="25"/>
      <c r="AC9" s="25"/>
    </row>
    <row r="10" spans="2:29" s="35" customFormat="1" ht="8.25" x14ac:dyDescent="0.15">
      <c r="B10" s="31"/>
      <c r="C10" s="31"/>
      <c r="D10" s="32"/>
      <c r="E10" s="32"/>
      <c r="F10" s="31"/>
      <c r="G10" s="31"/>
      <c r="H10" s="31"/>
      <c r="I10" s="33"/>
      <c r="J10" s="34"/>
      <c r="K10" s="31"/>
      <c r="L10" s="31"/>
      <c r="M10" s="31"/>
      <c r="N10" s="31"/>
      <c r="O10" s="33"/>
      <c r="P10" s="34"/>
      <c r="Q10" s="31"/>
      <c r="R10" s="31"/>
      <c r="S10" s="31"/>
      <c r="T10" s="31"/>
      <c r="U10" s="33"/>
      <c r="V10" s="34"/>
      <c r="W10" s="34"/>
      <c r="X10" s="34"/>
      <c r="Y10" s="34"/>
      <c r="Z10" s="34"/>
      <c r="AA10" s="34"/>
      <c r="AB10" s="34"/>
      <c r="AC10" s="34"/>
    </row>
    <row r="11" spans="2:29" ht="25.5" x14ac:dyDescent="0.25">
      <c r="B11" s="64" t="s">
        <v>51</v>
      </c>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7"/>
    </row>
    <row r="13" spans="2:29" x14ac:dyDescent="0.25">
      <c r="E13" s="65"/>
      <c r="F13" s="65"/>
    </row>
    <row r="14" spans="2:29" x14ac:dyDescent="0.25">
      <c r="E14" s="65"/>
      <c r="F14" s="65"/>
    </row>
    <row r="15" spans="2:29" x14ac:dyDescent="0.25">
      <c r="E15" s="65"/>
      <c r="F15" s="65"/>
    </row>
    <row r="17" spans="2:28" x14ac:dyDescent="0.25">
      <c r="E17" s="4"/>
    </row>
    <row r="22" spans="2:28" ht="15" customHeight="1" x14ac:dyDescent="0.25">
      <c r="E22" s="37"/>
      <c r="F22" s="37"/>
    </row>
    <row r="23" spans="2:28" ht="15" customHeight="1" x14ac:dyDescent="0.25">
      <c r="B23" s="56" t="str">
        <f>IF(Volumes!Z56="Pullups",Volumes!Z57,"")</f>
        <v/>
      </c>
      <c r="C23" s="56"/>
      <c r="E23" s="56">
        <f>Max!N2</f>
        <v>147</v>
      </c>
      <c r="F23" s="61" t="str">
        <f>_xlfn.CONCAT("(+",Max!N4,")")</f>
        <v>(+74)</v>
      </c>
      <c r="G23" s="55"/>
    </row>
    <row r="24" spans="2:28" ht="15" customHeight="1" x14ac:dyDescent="0.25">
      <c r="B24" s="56"/>
      <c r="C24" s="56"/>
      <c r="E24" s="56"/>
      <c r="F24" s="61"/>
      <c r="G24" s="55"/>
    </row>
    <row r="25" spans="2:28" ht="15" customHeight="1" x14ac:dyDescent="0.25">
      <c r="B25" s="57" t="str">
        <f>IF(B23="","","Max Reps")</f>
        <v/>
      </c>
      <c r="C25" s="58"/>
      <c r="E25" s="57" t="s">
        <v>185</v>
      </c>
      <c r="F25" s="58"/>
    </row>
    <row r="26" spans="2:28" x14ac:dyDescent="0.25">
      <c r="E26" s="66"/>
      <c r="F26" s="67"/>
    </row>
    <row r="27" spans="2:28" ht="15" customHeight="1" x14ac:dyDescent="0.25">
      <c r="B27" s="59" t="str">
        <f>IF(B23="","",Volumes!Z58)</f>
        <v/>
      </c>
      <c r="C27" s="59"/>
      <c r="E27" s="59" t="str">
        <f>Max!$N$3</f>
        <v>10/24/2023</v>
      </c>
      <c r="F27" s="59"/>
    </row>
    <row r="28" spans="2:28" ht="15" customHeight="1" x14ac:dyDescent="0.25">
      <c r="B28" s="59"/>
      <c r="C28" s="59"/>
      <c r="E28" s="59"/>
      <c r="F28" s="59"/>
    </row>
    <row r="29" spans="2:28" ht="15" customHeight="1" x14ac:dyDescent="0.25">
      <c r="B29" s="57" t="str">
        <f>IF(B23="","","Date Achieved")</f>
        <v/>
      </c>
      <c r="C29" s="57"/>
      <c r="E29" s="57" t="s">
        <v>26</v>
      </c>
      <c r="F29" s="57"/>
    </row>
    <row r="30" spans="2:28" s="22" customFormat="1" ht="15.75" customHeight="1" x14ac:dyDescent="0.25">
      <c r="R30" s="23"/>
      <c r="S30" s="23"/>
      <c r="T30" s="23"/>
      <c r="U30" s="23"/>
      <c r="V30" s="23"/>
      <c r="X30" s="24"/>
      <c r="Y30" s="23"/>
      <c r="Z30" s="23"/>
      <c r="AA30" s="23"/>
      <c r="AB30" s="23"/>
    </row>
    <row r="31" spans="2:28" ht="25.5" x14ac:dyDescent="0.25">
      <c r="B31" s="64" t="s">
        <v>54</v>
      </c>
      <c r="C31" s="64"/>
      <c r="D31" s="64"/>
      <c r="E31" s="64"/>
      <c r="F31" s="64"/>
      <c r="G31" s="64"/>
      <c r="H31" s="64"/>
      <c r="I31" s="64"/>
      <c r="J31" s="64"/>
      <c r="K31" s="64"/>
      <c r="L31" s="64"/>
      <c r="M31" s="64"/>
      <c r="N31" s="64"/>
      <c r="O31" s="64"/>
      <c r="P31" s="64"/>
      <c r="Q31" s="64"/>
      <c r="R31" s="64"/>
      <c r="S31" s="64"/>
      <c r="T31" s="64"/>
      <c r="U31" s="64"/>
      <c r="V31" s="64"/>
      <c r="W31" s="64"/>
      <c r="X31" s="64"/>
      <c r="Y31" s="64"/>
      <c r="Z31" s="64"/>
      <c r="AA31" s="64"/>
      <c r="AB31" s="64"/>
    </row>
    <row r="38" spans="23:23" s="12" customFormat="1" ht="20.25" customHeight="1" x14ac:dyDescent="0.55000000000000004">
      <c r="W38" s="15"/>
    </row>
    <row r="39" spans="23:23" s="14" customFormat="1" ht="12.75" x14ac:dyDescent="0.2"/>
    <row r="57" spans="2:15" s="18" customFormat="1" ht="15" customHeight="1" x14ac:dyDescent="0.25">
      <c r="B57" s="17"/>
      <c r="C57" s="17"/>
      <c r="D57" s="17"/>
      <c r="E57" s="60"/>
      <c r="F57" s="60"/>
      <c r="G57" s="60"/>
      <c r="H57" s="60"/>
      <c r="I57" s="60"/>
      <c r="J57" s="17"/>
      <c r="K57" s="62"/>
      <c r="L57" s="63"/>
      <c r="M57" s="63"/>
      <c r="N57" s="63"/>
      <c r="O57" s="63"/>
    </row>
    <row r="58" spans="2:15" x14ac:dyDescent="0.25">
      <c r="B58" s="13"/>
      <c r="C58" s="13"/>
      <c r="D58" s="13"/>
      <c r="E58" s="14"/>
      <c r="F58" s="14"/>
      <c r="G58" s="14"/>
      <c r="H58" s="14"/>
      <c r="I58" s="14"/>
      <c r="J58" s="14"/>
      <c r="K58" s="14"/>
      <c r="L58" s="14"/>
      <c r="M58" s="14"/>
      <c r="N58" s="14"/>
      <c r="O58" s="14"/>
    </row>
  </sheetData>
  <mergeCells count="27">
    <mergeCell ref="E13:F15"/>
    <mergeCell ref="E26:F26"/>
    <mergeCell ref="B1:AB4"/>
    <mergeCell ref="B6:AB6"/>
    <mergeCell ref="B11:AB11"/>
    <mergeCell ref="C8:G8"/>
    <mergeCell ref="H8:L8"/>
    <mergeCell ref="M8:Q8"/>
    <mergeCell ref="W8:AA8"/>
    <mergeCell ref="W9:AA9"/>
    <mergeCell ref="R8:V8"/>
    <mergeCell ref="H9:L9"/>
    <mergeCell ref="C9:G9"/>
    <mergeCell ref="M9:Q9"/>
    <mergeCell ref="R9:V9"/>
    <mergeCell ref="K57:O57"/>
    <mergeCell ref="B31:AB31"/>
    <mergeCell ref="E25:F25"/>
    <mergeCell ref="E27:F28"/>
    <mergeCell ref="E29:F29"/>
    <mergeCell ref="B23:C24"/>
    <mergeCell ref="B25:C25"/>
    <mergeCell ref="B27:C28"/>
    <mergeCell ref="B29:C29"/>
    <mergeCell ref="E57:I57"/>
    <mergeCell ref="E23:E24"/>
    <mergeCell ref="F23:F2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Data">
                <anchor moveWithCells="1" sizeWithCells="1">
                  <from>
                    <xdr:col>22</xdr:col>
                    <xdr:colOff>247650</xdr:colOff>
                    <xdr:row>6</xdr:row>
                    <xdr:rowOff>228600</xdr:rowOff>
                  </from>
                  <to>
                    <xdr:col>26</xdr:col>
                    <xdr:colOff>352425</xdr:colOff>
                    <xdr:row>8</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DF8C-788C-4794-8540-3DC232868361}">
  <sheetPr codeName="Sheet5"/>
  <dimension ref="A1:AB20"/>
  <sheetViews>
    <sheetView workbookViewId="0">
      <selection activeCell="M7" sqref="M7"/>
    </sheetView>
  </sheetViews>
  <sheetFormatPr defaultRowHeight="15" x14ac:dyDescent="0.25"/>
  <cols>
    <col min="6" max="6" width="30.7109375" customWidth="1"/>
    <col min="7" max="7" width="46.5703125" bestFit="1" customWidth="1"/>
    <col min="8" max="8" width="16.7109375" bestFit="1" customWidth="1"/>
    <col min="9" max="9" width="7.42578125" customWidth="1"/>
    <col min="10" max="10" width="15.42578125" bestFit="1" customWidth="1"/>
    <col min="11" max="11" width="11.140625" bestFit="1" customWidth="1"/>
    <col min="12" max="12" width="16.28515625" bestFit="1" customWidth="1"/>
    <col min="13" max="13" width="11.28515625" bestFit="1" customWidth="1"/>
    <col min="14" max="27" width="21.85546875" bestFit="1" customWidth="1"/>
    <col min="28" max="28" width="11.28515625" bestFit="1" customWidth="1"/>
  </cols>
  <sheetData>
    <row r="1" spans="1:28" s="4" customFormat="1" x14ac:dyDescent="0.25">
      <c r="A1" s="4" t="s">
        <v>44</v>
      </c>
      <c r="H1" s="2" t="s">
        <v>36</v>
      </c>
      <c r="I1" t="s">
        <v>37</v>
      </c>
      <c r="L1" s="2" t="s">
        <v>25</v>
      </c>
      <c r="M1"/>
      <c r="N1"/>
      <c r="O1"/>
      <c r="P1"/>
      <c r="Q1"/>
      <c r="R1"/>
      <c r="S1"/>
      <c r="T1"/>
      <c r="U1"/>
      <c r="V1"/>
      <c r="W1"/>
      <c r="X1"/>
      <c r="Y1"/>
      <c r="Z1"/>
      <c r="AA1"/>
      <c r="AB1"/>
    </row>
    <row r="2" spans="1:28" x14ac:dyDescent="0.25">
      <c r="L2" t="s">
        <v>12</v>
      </c>
    </row>
    <row r="3" spans="1:28" x14ac:dyDescent="0.25">
      <c r="H3" s="2" t="s">
        <v>25</v>
      </c>
    </row>
    <row r="4" spans="1:28" x14ac:dyDescent="0.25">
      <c r="H4" t="s">
        <v>9</v>
      </c>
    </row>
    <row r="5" spans="1:28" x14ac:dyDescent="0.25">
      <c r="L5" t="s">
        <v>39</v>
      </c>
      <c r="M5" t="s">
        <v>55</v>
      </c>
    </row>
    <row r="6" spans="1:28" x14ac:dyDescent="0.25">
      <c r="H6" t="s">
        <v>39</v>
      </c>
      <c r="I6" t="s">
        <v>55</v>
      </c>
      <c r="L6" t="s">
        <v>40</v>
      </c>
      <c r="M6" t="str">
        <f>_xlfn.TEXTJOIN(" ",TRUE,2:2)</f>
        <v>Flat Bench Press</v>
      </c>
    </row>
    <row r="7" spans="1:28" x14ac:dyDescent="0.25">
      <c r="H7" t="s">
        <v>40</v>
      </c>
      <c r="I7" t="str">
        <f>_xlfn.TEXTJOIN(" ",TRUE,4:4)</f>
        <v>Bent Over Rows</v>
      </c>
      <c r="L7" t="s">
        <v>41</v>
      </c>
      <c r="M7" t="str">
        <f>_xlfn.CONCAT(M5," ",M6)</f>
        <v>Volume for Flat Bench Press</v>
      </c>
    </row>
    <row r="8" spans="1:28" x14ac:dyDescent="0.25">
      <c r="H8" t="s">
        <v>41</v>
      </c>
      <c r="I8" s="19" t="str">
        <f xml:space="preserve"> _xlfn.CONCAT(I6," ", I7)</f>
        <v>Volume for Bent Over Rows</v>
      </c>
    </row>
    <row r="13" spans="1:28" ht="39" x14ac:dyDescent="0.25">
      <c r="F13" s="4" t="s">
        <v>42</v>
      </c>
      <c r="G13" s="21" t="str">
        <f>I7</f>
        <v>Bent Over Rows</v>
      </c>
    </row>
    <row r="14" spans="1:28" ht="200.1" customHeight="1" x14ac:dyDescent="0.25">
      <c r="D14" s="73" t="s">
        <v>43</v>
      </c>
      <c r="E14" s="73"/>
      <c r="F14" s="20">
        <f>_xlfn.XLOOKUP(I7,F15:F20,E15:E20)</f>
        <v>1</v>
      </c>
      <c r="G14" s="20" t="e" vm="1">
        <f ca="1">OFFSET(H14,F14,-1)</f>
        <v>#VALUE!</v>
      </c>
    </row>
    <row r="15" spans="1:28" ht="150" customHeight="1" x14ac:dyDescent="0.25">
      <c r="E15">
        <v>1</v>
      </c>
      <c r="F15" t="s">
        <v>9</v>
      </c>
      <c r="G15" t="e" vm="2">
        <v>#VALUE!</v>
      </c>
    </row>
    <row r="16" spans="1:28" ht="150" customHeight="1" x14ac:dyDescent="0.25">
      <c r="E16">
        <v>2</v>
      </c>
      <c r="F16" t="s">
        <v>11</v>
      </c>
      <c r="G16" t="e" vm="3">
        <v>#VALUE!</v>
      </c>
    </row>
    <row r="17" spans="5:7" ht="150" customHeight="1" x14ac:dyDescent="0.25">
      <c r="E17">
        <v>3</v>
      </c>
      <c r="F17" t="s">
        <v>12</v>
      </c>
      <c r="G17" t="e" vm="4">
        <v>#VALUE!</v>
      </c>
    </row>
    <row r="18" spans="5:7" ht="150" customHeight="1" x14ac:dyDescent="0.25">
      <c r="E18">
        <v>4</v>
      </c>
      <c r="F18" t="s">
        <v>17</v>
      </c>
      <c r="G18" t="e" vm="5">
        <v>#VALUE!</v>
      </c>
    </row>
    <row r="19" spans="5:7" ht="150" customHeight="1" x14ac:dyDescent="0.25">
      <c r="E19">
        <v>5</v>
      </c>
      <c r="F19" t="s">
        <v>14</v>
      </c>
      <c r="G19" t="e" vm="6">
        <v>#VALUE!</v>
      </c>
    </row>
    <row r="20" spans="5:7" ht="150" customHeight="1" x14ac:dyDescent="0.25">
      <c r="E20">
        <v>6</v>
      </c>
      <c r="F20" t="s">
        <v>19</v>
      </c>
      <c r="G20" t="e" vm="7">
        <v>#VALUE!</v>
      </c>
    </row>
  </sheetData>
  <mergeCells count="1">
    <mergeCell ref="D14:E14"/>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C119E-9254-44CC-B27C-F0C15C6EECC2}">
  <dimension ref="A1:O25"/>
  <sheetViews>
    <sheetView workbookViewId="0">
      <selection activeCell="O15" sqref="O15"/>
    </sheetView>
  </sheetViews>
  <sheetFormatPr defaultRowHeight="15" x14ac:dyDescent="0.25"/>
  <cols>
    <col min="2" max="2" width="17.42578125" bestFit="1" customWidth="1"/>
    <col min="3" max="3" width="10" bestFit="1" customWidth="1"/>
    <col min="4" max="4" width="10" customWidth="1"/>
    <col min="5" max="5" width="12.7109375" bestFit="1" customWidth="1"/>
    <col min="8" max="8" width="11.85546875" customWidth="1"/>
    <col min="9" max="9" width="12.7109375" bestFit="1" customWidth="1"/>
    <col min="13" max="13" width="15.42578125" bestFit="1" customWidth="1"/>
    <col min="14" max="14" width="12.28515625" bestFit="1" customWidth="1"/>
    <col min="15" max="15" width="20.85546875" bestFit="1" customWidth="1"/>
  </cols>
  <sheetData>
    <row r="1" spans="1:15" ht="15" customHeight="1" thickBot="1" x14ac:dyDescent="0.3">
      <c r="B1" s="4"/>
      <c r="C1" s="4"/>
      <c r="D1" s="4"/>
      <c r="E1" s="4"/>
      <c r="F1" s="4"/>
      <c r="J1" s="51"/>
      <c r="K1" s="51"/>
      <c r="N1" s="4" t="s">
        <v>59</v>
      </c>
      <c r="O1" s="4" t="s">
        <v>60</v>
      </c>
    </row>
    <row r="2" spans="1:15" ht="15" customHeight="1" x14ac:dyDescent="0.25">
      <c r="B2" s="74" t="s">
        <v>85</v>
      </c>
      <c r="C2" s="75"/>
      <c r="D2" s="75"/>
      <c r="E2" s="75"/>
      <c r="F2" s="75"/>
      <c r="G2" s="75"/>
      <c r="H2" s="75"/>
      <c r="I2" s="76"/>
      <c r="J2" s="51"/>
      <c r="K2" s="51"/>
      <c r="M2" s="4" t="s">
        <v>57</v>
      </c>
      <c r="N2">
        <v>158.6</v>
      </c>
      <c r="O2">
        <f>N2*0.8</f>
        <v>126.88</v>
      </c>
    </row>
    <row r="3" spans="1:15" ht="15" customHeight="1" x14ac:dyDescent="0.25">
      <c r="B3" s="44"/>
      <c r="C3" s="4" t="s">
        <v>75</v>
      </c>
      <c r="D3" s="4" t="s">
        <v>74</v>
      </c>
      <c r="E3" s="4" t="s">
        <v>76</v>
      </c>
      <c r="F3" s="4" t="s">
        <v>77</v>
      </c>
      <c r="G3" s="4" t="s">
        <v>78</v>
      </c>
      <c r="H3" s="4"/>
      <c r="I3" s="40"/>
      <c r="J3" s="51"/>
      <c r="K3" s="51"/>
      <c r="M3" s="4" t="s">
        <v>58</v>
      </c>
      <c r="N3" s="36">
        <v>172.6</v>
      </c>
      <c r="O3">
        <f t="shared" ref="O3:O8" si="0">N3*0.8</f>
        <v>138.08000000000001</v>
      </c>
    </row>
    <row r="4" spans="1:15" x14ac:dyDescent="0.25">
      <c r="B4" s="46"/>
      <c r="C4" s="47" t="s">
        <v>84</v>
      </c>
      <c r="D4" s="47" t="s">
        <v>81</v>
      </c>
      <c r="E4" s="47" t="s">
        <v>82</v>
      </c>
      <c r="F4" s="47" t="s">
        <v>83</v>
      </c>
      <c r="G4" s="47" t="s">
        <v>86</v>
      </c>
      <c r="H4" s="47" t="s">
        <v>79</v>
      </c>
      <c r="I4" s="48" t="s">
        <v>80</v>
      </c>
      <c r="M4" s="4" t="s">
        <v>56</v>
      </c>
      <c r="N4" s="36">
        <f>N3-N2</f>
        <v>14</v>
      </c>
      <c r="O4">
        <f t="shared" si="0"/>
        <v>11.200000000000001</v>
      </c>
    </row>
    <row r="5" spans="1:15" x14ac:dyDescent="0.25">
      <c r="A5" s="54"/>
      <c r="B5" s="45" t="s">
        <v>12</v>
      </c>
      <c r="C5">
        <f>$N$3*0.5</f>
        <v>86.3</v>
      </c>
      <c r="D5" s="36">
        <f>$N$3*0.75</f>
        <v>129.44999999999999</v>
      </c>
      <c r="E5">
        <f>$N$3*1.25</f>
        <v>215.75</v>
      </c>
      <c r="F5">
        <f>$N$3*1.75</f>
        <v>302.05</v>
      </c>
      <c r="G5">
        <f>$N$3*2</f>
        <v>345.2</v>
      </c>
      <c r="H5">
        <f>_xlfn.XLOOKUP(B5,Max!H:H,Max!I:I,"n/a",,)</f>
        <v>188.5</v>
      </c>
      <c r="I5" s="41" t="str" cm="1">
        <f t="array" ref="I5">_xlfn.IFS(H5&gt;G5,$G$3,H5&gt;F5,$F$3,H5&gt;E5,$E$3,H5&gt;D5,$D$3,H5&gt;C5,$C$3)</f>
        <v>novice</v>
      </c>
      <c r="M5" s="4"/>
    </row>
    <row r="6" spans="1:15" x14ac:dyDescent="0.25">
      <c r="A6" s="54"/>
      <c r="B6" s="45" t="s">
        <v>17</v>
      </c>
      <c r="C6">
        <f>$N$3*0.75</f>
        <v>129.44999999999999</v>
      </c>
      <c r="D6" s="36">
        <f>$N$3*1</f>
        <v>172.6</v>
      </c>
      <c r="E6">
        <f>$N$3*1.25</f>
        <v>215.75</v>
      </c>
      <c r="F6">
        <f>$N$3*1.75</f>
        <v>302.05</v>
      </c>
      <c r="G6">
        <f>$N$3*2.25</f>
        <v>388.34999999999997</v>
      </c>
      <c r="H6">
        <f>_xlfn.XLOOKUP(B6,Max!H:H,Max!I:I,"n/a",,)</f>
        <v>213.33</v>
      </c>
      <c r="I6" s="41" t="str" cm="1">
        <f t="array" ref="I6">_xlfn.IFS(H6&gt;G6,$G$3,H6&gt;F6,$F$3,H6&gt;E6,$E$3,H6&gt;D6,$D$3,H6&gt;C6,$C$3)</f>
        <v>novice</v>
      </c>
      <c r="M6" s="4"/>
    </row>
    <row r="7" spans="1:15" x14ac:dyDescent="0.25">
      <c r="A7" s="54"/>
      <c r="B7" s="45" t="s">
        <v>15</v>
      </c>
      <c r="C7">
        <f>$N$3*0.75</f>
        <v>129.44999999999999</v>
      </c>
      <c r="D7" s="36">
        <f>$N$3*1.25</f>
        <v>215.75</v>
      </c>
      <c r="E7">
        <f>$N$3*1.5</f>
        <v>258.89999999999998</v>
      </c>
      <c r="F7">
        <f>$N$3*2.25</f>
        <v>388.34999999999997</v>
      </c>
      <c r="G7">
        <f>$N$3*2.75</f>
        <v>474.65</v>
      </c>
      <c r="H7">
        <f>_xlfn.XLOOKUP(B7,Max!H:H,Max!I:I,"n/a",,)</f>
        <v>220</v>
      </c>
      <c r="I7" s="41" t="str" cm="1">
        <f t="array" ref="I7">_xlfn.IFS(H7&gt;G7,$G$3,H7&gt;F7,$F$3,H7&gt;E7,$E$3,H7&gt;D7,$D$3,H7&gt;C7,$C$3)</f>
        <v>novice</v>
      </c>
      <c r="M7" s="4"/>
    </row>
    <row r="8" spans="1:15" x14ac:dyDescent="0.25">
      <c r="A8" s="54"/>
      <c r="B8" s="45" t="s">
        <v>20</v>
      </c>
      <c r="C8">
        <f>$N$3*1</f>
        <v>172.6</v>
      </c>
      <c r="D8">
        <f>$N$3*1.5</f>
        <v>258.89999999999998</v>
      </c>
      <c r="E8">
        <f>$N$3*2</f>
        <v>345.2</v>
      </c>
      <c r="F8">
        <f>$N$3*2.5</f>
        <v>431.5</v>
      </c>
      <c r="G8">
        <f>$N$3*3</f>
        <v>517.79999999999995</v>
      </c>
      <c r="H8">
        <f>_xlfn.XLOOKUP(B8,Max!H:H,Max!I:I,"n/a",,)</f>
        <v>332.5</v>
      </c>
      <c r="I8" s="41" t="str" cm="1">
        <f t="array" ref="I8">_xlfn.IFS(H8&gt;G8,$G$3,H8&gt;F8,$F$3,H8&gt;E8,$E$3,H8&gt;D8,$D$3,H8&gt;C8,$C$3)</f>
        <v>novice</v>
      </c>
      <c r="M8" s="4"/>
      <c r="N8" s="78"/>
      <c r="O8" s="39"/>
    </row>
    <row r="9" spans="1:15" x14ac:dyDescent="0.25">
      <c r="A9" s="54"/>
      <c r="B9" s="45" t="s">
        <v>11</v>
      </c>
      <c r="C9">
        <f>$N$3*0.75</f>
        <v>129.44999999999999</v>
      </c>
      <c r="D9">
        <f>$N$3*1</f>
        <v>172.6</v>
      </c>
      <c r="E9" s="36">
        <f>$N$3*1.5</f>
        <v>258.89999999999998</v>
      </c>
      <c r="F9">
        <f>$N$3*2</f>
        <v>345.2</v>
      </c>
      <c r="G9">
        <f>$N$3*2.75</f>
        <v>474.65</v>
      </c>
      <c r="H9">
        <f>_xlfn.XLOOKUP(B9,Max!H:H,Max!I:I,"n/a",,)</f>
        <v>320</v>
      </c>
      <c r="I9" s="41" t="str" cm="1">
        <f t="array" ref="I9">_xlfn.IFS(H9&gt;G9,$G$3,H9&gt;F9,$F$3,H9&gt;E9,$E$3,H9&gt;D9,$D$3,H9&gt;C9,$C$3)</f>
        <v>intermediate</v>
      </c>
    </row>
    <row r="10" spans="1:15" x14ac:dyDescent="0.25">
      <c r="A10" s="54"/>
      <c r="B10" s="45" t="s">
        <v>14</v>
      </c>
      <c r="C10">
        <f>$N$3*0.35</f>
        <v>60.41</v>
      </c>
      <c r="D10" s="36">
        <f>$N$3*0.55</f>
        <v>94.93</v>
      </c>
      <c r="E10">
        <f>$N$3*0.8</f>
        <v>138.08000000000001</v>
      </c>
      <c r="F10">
        <f>$N$3*1.1</f>
        <v>189.86</v>
      </c>
      <c r="G10">
        <f>$N$3*1.4</f>
        <v>241.64</v>
      </c>
      <c r="H10">
        <f>_xlfn.XLOOKUP(B10,Max!H:H,Max!I:I,"n/a",,)</f>
        <v>107.67</v>
      </c>
      <c r="I10" s="41" t="str" cm="1">
        <f t="array" ref="I10">_xlfn.IFS(H10&gt;G10,$G$3,H10&gt;F10,$F$3,H10&gt;E10,$E$3,H10&gt;D10,$D$3,H10&gt;C10,$C$3)</f>
        <v>novice</v>
      </c>
    </row>
    <row r="11" spans="1:15" x14ac:dyDescent="0.25">
      <c r="A11" s="54"/>
      <c r="B11" s="45" t="s">
        <v>9</v>
      </c>
      <c r="C11">
        <f>$N$3*0.5</f>
        <v>86.3</v>
      </c>
      <c r="D11" s="36">
        <f>$N$3*0.75</f>
        <v>129.44999999999999</v>
      </c>
      <c r="E11">
        <f>$N$3*1</f>
        <v>172.6</v>
      </c>
      <c r="F11">
        <f>$N$3*1.5</f>
        <v>258.89999999999998</v>
      </c>
      <c r="G11">
        <f>$N$3*1.75</f>
        <v>302.05</v>
      </c>
      <c r="H11">
        <f>_xlfn.XLOOKUP(B11,Max!H:H,Max!I:I,"n/a",,)</f>
        <v>147</v>
      </c>
      <c r="I11" s="41" t="str" cm="1">
        <f t="array" ref="I11">_xlfn.IFS(H11&gt;G11,$G$3,H11&gt;F11,$F$3,H11&gt;E11,$E$3,H11&gt;D11,$D$3,H11&gt;C11,$C$3)</f>
        <v>novice</v>
      </c>
    </row>
    <row r="12" spans="1:15" ht="15.75" thickBot="1" x14ac:dyDescent="0.3">
      <c r="A12" s="54"/>
      <c r="B12" s="49" t="s">
        <v>19</v>
      </c>
      <c r="C12" s="42">
        <f>$N$3-28</f>
        <v>144.6</v>
      </c>
      <c r="D12" s="42">
        <f>$N$3+18</f>
        <v>190.6</v>
      </c>
      <c r="E12" s="50">
        <f>$N$3+75</f>
        <v>247.6</v>
      </c>
      <c r="F12" s="42">
        <f>$N$3+138</f>
        <v>310.60000000000002</v>
      </c>
      <c r="G12" s="42">
        <f>$N$3+206</f>
        <v>378.6</v>
      </c>
      <c r="H12" s="42">
        <f>_xlfn.XLOOKUP(B12,Max!H:H,Max!I:I,"n/a",,)</f>
        <v>254.2</v>
      </c>
      <c r="I12" s="43" t="str" cm="1">
        <f t="array" ref="I12">_xlfn.IFS(H12&gt;G12,$G$3,H12&gt;F12,$F$3,H12&gt;E12,$E$3,H12&gt;D12,$D$3,H12&gt;C12,$C$3)</f>
        <v>intermediate</v>
      </c>
    </row>
    <row r="16" spans="1:15" x14ac:dyDescent="0.25">
      <c r="A16" t="s">
        <v>161</v>
      </c>
      <c r="D16" t="s">
        <v>23</v>
      </c>
      <c r="E16" s="54"/>
      <c r="F16" t="s">
        <v>21</v>
      </c>
      <c r="G16" s="54"/>
      <c r="H16" t="s">
        <v>22</v>
      </c>
      <c r="I16" s="54"/>
      <c r="J16" t="s">
        <v>71</v>
      </c>
      <c r="K16" s="54"/>
    </row>
    <row r="17" spans="2:11" x14ac:dyDescent="0.25">
      <c r="B17" s="53" t="s">
        <v>162</v>
      </c>
      <c r="D17" t="s">
        <v>166</v>
      </c>
      <c r="E17" s="54" t="s">
        <v>169</v>
      </c>
      <c r="F17" t="s">
        <v>172</v>
      </c>
      <c r="G17" s="54" t="s">
        <v>169</v>
      </c>
      <c r="H17" t="s">
        <v>174</v>
      </c>
      <c r="I17" s="54" t="s">
        <v>170</v>
      </c>
      <c r="J17" t="s">
        <v>168</v>
      </c>
      <c r="K17" s="54" t="s">
        <v>170</v>
      </c>
    </row>
    <row r="18" spans="2:11" x14ac:dyDescent="0.25">
      <c r="B18" s="53" t="s">
        <v>163</v>
      </c>
      <c r="D18" t="s">
        <v>167</v>
      </c>
      <c r="E18" s="54" t="s">
        <v>170</v>
      </c>
      <c r="F18" t="s">
        <v>173</v>
      </c>
      <c r="G18" s="54" t="s">
        <v>170</v>
      </c>
      <c r="H18" t="s">
        <v>11</v>
      </c>
      <c r="I18" s="54" t="s">
        <v>170</v>
      </c>
      <c r="J18" t="s">
        <v>171</v>
      </c>
      <c r="K18" s="54" t="s">
        <v>170</v>
      </c>
    </row>
    <row r="19" spans="2:11" x14ac:dyDescent="0.25">
      <c r="B19" s="53" t="s">
        <v>164</v>
      </c>
      <c r="D19" t="s">
        <v>177</v>
      </c>
      <c r="E19" s="54" t="s">
        <v>169</v>
      </c>
      <c r="G19" s="54"/>
      <c r="H19" t="s">
        <v>175</v>
      </c>
      <c r="I19" s="54" t="s">
        <v>176</v>
      </c>
      <c r="K19" s="54"/>
    </row>
    <row r="20" spans="2:11" x14ac:dyDescent="0.25">
      <c r="B20" t="s">
        <v>165</v>
      </c>
      <c r="D20" t="s">
        <v>178</v>
      </c>
      <c r="E20" s="54" t="s">
        <v>179</v>
      </c>
      <c r="G20" s="54"/>
      <c r="I20" s="54"/>
      <c r="K20" s="54"/>
    </row>
    <row r="21" spans="2:11" x14ac:dyDescent="0.25">
      <c r="E21" s="54"/>
      <c r="G21" s="54"/>
      <c r="I21" s="54"/>
      <c r="K21" s="54"/>
    </row>
    <row r="22" spans="2:11" x14ac:dyDescent="0.25">
      <c r="E22" s="54"/>
      <c r="G22" s="54"/>
      <c r="I22" s="54"/>
      <c r="K22" s="54"/>
    </row>
    <row r="23" spans="2:11" x14ac:dyDescent="0.25">
      <c r="E23" s="54"/>
      <c r="G23" s="54"/>
      <c r="I23" s="54"/>
      <c r="K23" s="54"/>
    </row>
    <row r="24" spans="2:11" x14ac:dyDescent="0.25">
      <c r="E24" s="54"/>
      <c r="G24" s="54"/>
      <c r="I24" s="54"/>
      <c r="K24" s="54"/>
    </row>
    <row r="25" spans="2:11" x14ac:dyDescent="0.25">
      <c r="E25" s="54"/>
      <c r="G25" s="54"/>
      <c r="I25" s="54"/>
      <c r="K25" s="54"/>
    </row>
  </sheetData>
  <mergeCells count="1">
    <mergeCell ref="B2:I2"/>
  </mergeCells>
  <phoneticPr fontId="36" type="noConversion"/>
  <hyperlinks>
    <hyperlink ref="B2:F2" r:id="rId1" display="Strength Standards" xr:uid="{9BCD2F6F-1717-47DE-A8A2-6D61B99AFBA3}"/>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0C8BF3-4C42-421C-83F5-DD7C7A8D63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Imported_data</vt:lpstr>
      <vt:lpstr>Volumes</vt:lpstr>
      <vt:lpstr>Max</vt:lpstr>
      <vt:lpstr>Dashboard</vt:lpstr>
      <vt:lpstr>Interactive Actions</vt:lpstr>
      <vt:lpstr>Tips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Rey, David</dc:creator>
  <cp:lastModifiedBy>Rey, David</cp:lastModifiedBy>
  <dcterms:created xsi:type="dcterms:W3CDTF">2023-11-08T00:51:09Z</dcterms:created>
  <dcterms:modified xsi:type="dcterms:W3CDTF">2024-01-04T17:59:03Z</dcterms:modified>
</cp:coreProperties>
</file>